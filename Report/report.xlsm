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P:\L\GitHubDomenico\China\Report\"/>
    </mc:Choice>
  </mc:AlternateContent>
  <bookViews>
    <workbookView xWindow="24750" yWindow="150" windowWidth="25350" windowHeight="12705" firstSheet="1" activeTab="2"/>
  </bookViews>
  <sheets>
    <sheet name="Start" sheetId="1" r:id="rId1"/>
    <sheet name="资产负债表(适用执行小企业会计准则的企业)" sheetId="9" r:id="rId2"/>
    <sheet name="利润表月报(适用执行小企业会计准则的企业)" sheetId="8" r:id="rId3"/>
    <sheet name="报表" sheetId="10" r:id="rId4"/>
  </sheets>
  <functionGroups builtInGroupCount="18"/>
  <definedNames>
    <definedName name="DisableConnection">Start!$B$15</definedName>
    <definedName name="_xlnm.Print_Area" localSheetId="2">'利润表月报(适用执行小企业会计准则的企业)'!$B$1:$E$40</definedName>
    <definedName name="_xlnm.Print_Area" localSheetId="1">'资产负债表(适用执行小企业会计准则的企业)'!$C$1:$J$38</definedName>
    <definedName name="File0">Start!$B$11</definedName>
    <definedName name="File1">Start!$B$12</definedName>
    <definedName name="File2">Start!$B$13</definedName>
    <definedName name="RecalcCell">Start!#REF!</definedName>
    <definedName name="sheet0_f_h10l2" localSheetId="1">'资产负债表(适用执行小企业会计准则的企业)'!$E$17</definedName>
    <definedName name="sheet0_f_h10l2">'利润表月报(适用执行小企业会计准则的企业)'!$D$16</definedName>
    <definedName name="sheet0_f_h10l3" localSheetId="1">'资产负债表(适用执行小企业会计准则的企业)'!$F$17</definedName>
    <definedName name="sheet0_f_h10l3">'利润表月报(适用执行小企业会计准则的企业)'!$E$16</definedName>
    <definedName name="sheet0_f_h10l5">'资产负债表(适用执行小企业会计准则的企业)'!$I$17</definedName>
    <definedName name="sheet0_f_h10l6">'资产负债表(适用执行小企业会计准则的企业)'!$J$17</definedName>
    <definedName name="sheet0_f_h11l2" localSheetId="1">'资产负债表(适用执行小企业会计准则的企业)'!$E$18</definedName>
    <definedName name="sheet0_f_h11l2">'利润表月报(适用执行小企业会计准则的企业)'!$D$17</definedName>
    <definedName name="sheet0_f_h11l3" localSheetId="1">'资产负债表(适用执行小企业会计准则的企业)'!$F$18</definedName>
    <definedName name="sheet0_f_h11l3">'利润表月报(适用执行小企业会计准则的企业)'!$E$17</definedName>
    <definedName name="sheet0_f_h11l5">'资产负债表(适用执行小企业会计准则的企业)'!$I$18</definedName>
    <definedName name="sheet0_f_h11l6">'资产负债表(适用执行小企业会计准则的企业)'!$J$18</definedName>
    <definedName name="sheet0_f_h12l2" localSheetId="1">'资产负债表(适用执行小企业会计准则的企业)'!$E$19</definedName>
    <definedName name="sheet0_f_h12l2">'利润表月报(适用执行小企业会计准则的企业)'!$D$18</definedName>
    <definedName name="sheet0_f_h12l3" localSheetId="1">'资产负债表(适用执行小企业会计准则的企业)'!$F$19</definedName>
    <definedName name="sheet0_f_h12l3">'利润表月报(适用执行小企业会计准则的企业)'!$E$18</definedName>
    <definedName name="sheet0_f_h13l2" localSheetId="1">'资产负债表(适用执行小企业会计准则的企业)'!$E$20</definedName>
    <definedName name="sheet0_f_h13l2">'利润表月报(适用执行小企业会计准则的企业)'!$D$19</definedName>
    <definedName name="sheet0_f_h13l3" localSheetId="1">'资产负债表(适用执行小企业会计准则的企业)'!$F$20</definedName>
    <definedName name="sheet0_f_h13l3">'利润表月报(适用执行小企业会计准则的企业)'!$E$19</definedName>
    <definedName name="sheet0_f_h13l5">'资产负债表(适用执行小企业会计准则的企业)'!$I$20</definedName>
    <definedName name="sheet0_f_h13l6">'资产负债表(适用执行小企业会计准则的企业)'!$J$20</definedName>
    <definedName name="sheet0_f_h14l2" localSheetId="1">'资产负债表(适用执行小企业会计准则的企业)'!$E$21</definedName>
    <definedName name="sheet0_f_h14l2">'利润表月报(适用执行小企业会计准则的企业)'!$D$20</definedName>
    <definedName name="sheet0_f_h14l3" localSheetId="1">'资产负债表(适用执行小企业会计准则的企业)'!$F$21</definedName>
    <definedName name="sheet0_f_h14l3">'利润表月报(适用执行小企业会计准则的企业)'!$E$20</definedName>
    <definedName name="sheet0_f_h14l5">'资产负债表(适用执行小企业会计准则的企业)'!$I$21</definedName>
    <definedName name="sheet0_f_h14l6">'资产负债表(适用执行小企业会计准则的企业)'!$J$21</definedName>
    <definedName name="sheet0_f_h15l2" localSheetId="1">'资产负债表(适用执行小企业会计准则的企业)'!$E$22</definedName>
    <definedName name="sheet0_f_h15l2">'利润表月报(适用执行小企业会计准则的企业)'!$D$21</definedName>
    <definedName name="sheet0_f_h15l3" localSheetId="1">'资产负债表(适用执行小企业会计准则的企业)'!$F$22</definedName>
    <definedName name="sheet0_f_h15l3">'利润表月报(适用执行小企业会计准则的企业)'!$E$21</definedName>
    <definedName name="sheet0_f_h15l5">'资产负债表(适用执行小企业会计准则的企业)'!$I$22</definedName>
    <definedName name="sheet0_f_h15l6">'资产负债表(适用执行小企业会计准则的企业)'!$J$22</definedName>
    <definedName name="sheet0_f_h16l2">'利润表月报(适用执行小企业会计准则的企业)'!$D$22</definedName>
    <definedName name="sheet0_f_h16l3">'利润表月报(适用执行小企业会计准则的企业)'!$E$22</definedName>
    <definedName name="sheet0_f_h16l5">'资产负债表(适用执行小企业会计准则的企业)'!$I$23</definedName>
    <definedName name="sheet0_f_h16l6">'资产负债表(适用执行小企业会计准则的企业)'!$J$23</definedName>
    <definedName name="sheet0_f_h17l2" localSheetId="1">'资产负债表(适用执行小企业会计准则的企业)'!$E$24</definedName>
    <definedName name="sheet0_f_h17l2">'利润表月报(适用执行小企业会计准则的企业)'!$D$23</definedName>
    <definedName name="sheet0_f_h17l3" localSheetId="1">'资产负债表(适用执行小企业会计准则的企业)'!$F$24</definedName>
    <definedName name="sheet0_f_h17l3">'利润表月报(适用执行小企业会计准则的企业)'!$E$23</definedName>
    <definedName name="sheet0_f_h17l5">'资产负债表(适用执行小企业会计准则的企业)'!$I$24</definedName>
    <definedName name="sheet0_f_h17l6">'资产负债表(适用执行小企业会计准则的企业)'!$J$24</definedName>
    <definedName name="sheet0_f_h18l2" localSheetId="1">'资产负债表(适用执行小企业会计准则的企业)'!$E$25</definedName>
    <definedName name="sheet0_f_h18l2">'利润表月报(适用执行小企业会计准则的企业)'!$D$24</definedName>
    <definedName name="sheet0_f_h18l3" localSheetId="1">'资产负债表(适用执行小企业会计准则的企业)'!$F$25</definedName>
    <definedName name="sheet0_f_h18l3">'利润表月报(适用执行小企业会计准则的企业)'!$E$24</definedName>
    <definedName name="sheet0_f_h18l5">'资产负债表(适用执行小企业会计准则的企业)'!$I$25</definedName>
    <definedName name="sheet0_f_h18l6">'资产负债表(适用执行小企业会计准则的企业)'!$J$25</definedName>
    <definedName name="sheet0_f_h19l2" localSheetId="1">'资产负债表(适用执行小企业会计准则的企业)'!$E$26</definedName>
    <definedName name="sheet0_f_h19l2">'利润表月报(适用执行小企业会计准则的企业)'!$D$25</definedName>
    <definedName name="sheet0_f_h19l3" localSheetId="1">'资产负债表(适用执行小企业会计准则的企业)'!$F$26</definedName>
    <definedName name="sheet0_f_h19l3">'利润表月报(适用执行小企业会计准则的企业)'!$E$25</definedName>
    <definedName name="sheet0_f_h1l2" localSheetId="1">'资产负债表(适用执行小企业会计准则的企业)'!$E$8</definedName>
    <definedName name="sheet0_f_h1l2">'利润表月报(适用执行小企业会计准则的企业)'!$D$7</definedName>
    <definedName name="sheet0_f_h1l3" localSheetId="1">'资产负债表(适用执行小企业会计准则的企业)'!$F$8</definedName>
    <definedName name="sheet0_f_h1l3">'利润表月报(适用执行小企业会计准则的企业)'!$E$7</definedName>
    <definedName name="sheet0_f_h1l5">'资产负债表(适用执行小企业会计准则的企业)'!$I$8</definedName>
    <definedName name="sheet0_f_h1l6">'资产负债表(适用执行小企业会计准则的企业)'!$J$8</definedName>
    <definedName name="sheet0_f_h20l2" localSheetId="1">'资产负债表(适用执行小企业会计准则的企业)'!$E$27</definedName>
    <definedName name="sheet0_f_h20l2">'利润表月报(适用执行小企业会计准则的企业)'!$D$26</definedName>
    <definedName name="sheet0_f_h20l3" localSheetId="1">'资产负债表(适用执行小企业会计准则的企业)'!$F$27</definedName>
    <definedName name="sheet0_f_h20l3">'利润表月报(适用执行小企业会计准则的企业)'!$E$26</definedName>
    <definedName name="sheet0_f_h21l2" localSheetId="1">'资产负债表(适用执行小企业会计准则的企业)'!$E$28</definedName>
    <definedName name="sheet0_f_h21l2">'利润表月报(适用执行小企业会计准则的企业)'!$D$27</definedName>
    <definedName name="sheet0_f_h21l3" localSheetId="1">'资产负债表(适用执行小企业会计准则的企业)'!$F$28</definedName>
    <definedName name="sheet0_f_h21l3">'利润表月报(适用执行小企业会计准则的企业)'!$E$27</definedName>
    <definedName name="sheet0_f_h22l2" localSheetId="1">'资产负债表(适用执行小企业会计准则的企业)'!$E$29</definedName>
    <definedName name="sheet0_f_h22l2">'利润表月报(适用执行小企业会计准则的企业)'!$D$28</definedName>
    <definedName name="sheet0_f_h22l3" localSheetId="1">'资产负债表(适用执行小企业会计准则的企业)'!$F$29</definedName>
    <definedName name="sheet0_f_h22l3">'利润表月报(适用执行小企业会计准则的企业)'!$E$28</definedName>
    <definedName name="sheet0_f_h23l2" localSheetId="1">'资产负债表(适用执行小企业会计准则的企业)'!$E$30</definedName>
    <definedName name="sheet0_f_h23l2">'利润表月报(适用执行小企业会计准则的企业)'!$D$29</definedName>
    <definedName name="sheet0_f_h23l3" localSheetId="1">'资产负债表(适用执行小企业会计准则的企业)'!$F$30</definedName>
    <definedName name="sheet0_f_h23l3">'利润表月报(适用执行小企业会计准则的企业)'!$E$29</definedName>
    <definedName name="sheet0_f_h24l2" localSheetId="1">'资产负债表(适用执行小企业会计准则的企业)'!$E$31</definedName>
    <definedName name="sheet0_f_h24l2">'利润表月报(适用执行小企业会计准则的企业)'!$D$30</definedName>
    <definedName name="sheet0_f_h24l3" localSheetId="1">'资产负债表(适用执行小企业会计准则的企业)'!$F$31</definedName>
    <definedName name="sheet0_f_h24l3">'利润表月报(适用执行小企业会计准则的企业)'!$E$30</definedName>
    <definedName name="sheet0_f_h25l2" localSheetId="1">'资产负债表(适用执行小企业会计准则的企业)'!$E$32</definedName>
    <definedName name="sheet0_f_h25l2">'利润表月报(适用执行小企业会计准则的企业)'!$D$31</definedName>
    <definedName name="sheet0_f_h25l3" localSheetId="1">'资产负债表(适用执行小企业会计准则的企业)'!$F$32</definedName>
    <definedName name="sheet0_f_h25l3">'利润表月报(适用执行小企业会计准则的企业)'!$E$31</definedName>
    <definedName name="sheet0_f_h26l2" localSheetId="1">'资产负债表(适用执行小企业会计准则的企业)'!$E$33</definedName>
    <definedName name="sheet0_f_h26l2">'利润表月报(适用执行小企业会计准则的企业)'!$D$32</definedName>
    <definedName name="sheet0_f_h26l3" localSheetId="1">'资产负债表(适用执行小企业会计准则的企业)'!$F$33</definedName>
    <definedName name="sheet0_f_h26l3">'利润表月报(适用执行小企业会计准则的企业)'!$E$32</definedName>
    <definedName name="sheet0_f_h26l5">'资产负债表(适用执行小企业会计准则的企业)'!$I$33</definedName>
    <definedName name="sheet0_f_h26l6">'资产负债表(适用执行小企业会计准则的企业)'!$J$33</definedName>
    <definedName name="sheet0_f_h27l2" localSheetId="1">'资产负债表(适用执行小企业会计准则的企业)'!$E$34</definedName>
    <definedName name="sheet0_f_h27l2">'利润表月报(适用执行小企业会计准则的企业)'!$D$33</definedName>
    <definedName name="sheet0_f_h27l3" localSheetId="1">'资产负债表(适用执行小企业会计准则的企业)'!$F$34</definedName>
    <definedName name="sheet0_f_h27l3">'利润表月报(适用执行小企业会计准则的企业)'!$E$33</definedName>
    <definedName name="sheet0_f_h27l5">'资产负债表(适用执行小企业会计准则的企业)'!$I$34</definedName>
    <definedName name="sheet0_f_h27l6">'资产负债表(适用执行小企业会计准则的企业)'!$J$34</definedName>
    <definedName name="sheet0_f_h28l2" localSheetId="1">'资产负债表(适用执行小企业会计准则的企业)'!$E$35</definedName>
    <definedName name="sheet0_f_h28l2">'利润表月报(适用执行小企业会计准则的企业)'!$D$34</definedName>
    <definedName name="sheet0_f_h28l3" localSheetId="1">'资产负债表(适用执行小企业会计准则的企业)'!$F$35</definedName>
    <definedName name="sheet0_f_h28l3">'利润表月报(适用执行小企业会计准则的企业)'!$E$34</definedName>
    <definedName name="sheet0_f_h28l5">'资产负债表(适用执行小企业会计准则的企业)'!$I$35</definedName>
    <definedName name="sheet0_f_h28l6">'资产负债表(适用执行小企业会计准则的企业)'!$J$35</definedName>
    <definedName name="sheet0_f_h29l2" localSheetId="1">'资产负债表(适用执行小企业会计准则的企业)'!$E$36</definedName>
    <definedName name="sheet0_f_h29l2">'利润表月报(适用执行小企业会计准则的企业)'!$D$35</definedName>
    <definedName name="sheet0_f_h29l3" localSheetId="1">'资产负债表(适用执行小企业会计准则的企业)'!$F$36</definedName>
    <definedName name="sheet0_f_h29l3">'利润表月报(适用执行小企业会计准则的企业)'!$E$35</definedName>
    <definedName name="sheet0_f_h29l5">'资产负债表(适用执行小企业会计准则的企业)'!$I$36</definedName>
    <definedName name="sheet0_f_h29l6">'资产负债表(适用执行小企业会计准则的企业)'!$J$36</definedName>
    <definedName name="sheet0_f_h2l2" localSheetId="1">'资产负债表(适用执行小企业会计准则的企业)'!$E$9</definedName>
    <definedName name="sheet0_f_h2l2">'利润表月报(适用执行小企业会计准则的企业)'!$D$8</definedName>
    <definedName name="sheet0_f_h2l3" localSheetId="1">'资产负债表(适用执行小企业会计准则的企业)'!$F$9</definedName>
    <definedName name="sheet0_f_h2l3">'利润表月报(适用执行小企业会计准则的企业)'!$E$8</definedName>
    <definedName name="sheet0_f_h2l5">'资产负债表(适用执行小企业会计准则的企业)'!$I$9</definedName>
    <definedName name="sheet0_f_h2l6">'资产负债表(适用执行小企业会计准则的企业)'!$J$9</definedName>
    <definedName name="sheet0_f_h30l2" localSheetId="1">'资产负债表(适用执行小企业会计准则的企业)'!$E$37</definedName>
    <definedName name="sheet0_f_h30l2">'利润表月报(适用执行小企业会计准则的企业)'!$D$36</definedName>
    <definedName name="sheet0_f_h30l3" localSheetId="1">'资产负债表(适用执行小企业会计准则的企业)'!$F$37</definedName>
    <definedName name="sheet0_f_h30l3">'利润表月报(适用执行小企业会计准则的企业)'!$E$36</definedName>
    <definedName name="sheet0_f_h30l5">'资产负债表(适用执行小企业会计准则的企业)'!$I$37</definedName>
    <definedName name="sheet0_f_h30l6">'资产负债表(适用执行小企业会计准则的企业)'!$J$37</definedName>
    <definedName name="sheet0_f_h31l2" localSheetId="1">'资产负债表(适用执行小企业会计准则的企业)'!$E$38</definedName>
    <definedName name="sheet0_f_h31l2">'利润表月报(适用执行小企业会计准则的企业)'!$D$37</definedName>
    <definedName name="sheet0_f_h31l3" localSheetId="1">'资产负债表(适用执行小企业会计准则的企业)'!$F$38</definedName>
    <definedName name="sheet0_f_h31l3">'利润表月报(适用执行小企业会计准则的企业)'!$E$37</definedName>
    <definedName name="sheet0_f_h31l5">'资产负债表(适用执行小企业会计准则的企业)'!$I$38</definedName>
    <definedName name="sheet0_f_h31l6">'资产负债表(适用执行小企业会计准则的企业)'!$J$38</definedName>
    <definedName name="sheet0_f_h32l2">'利润表月报(适用执行小企业会计准则的企业)'!$D$38</definedName>
    <definedName name="sheet0_f_h32l3">'利润表月报(适用执行小企业会计准则的企业)'!$E$38</definedName>
    <definedName name="sheet0_f_h3l2" localSheetId="1">'资产负债表(适用执行小企业会计准则的企业)'!$E$10</definedName>
    <definedName name="sheet0_f_h3l2">'利润表月报(适用执行小企业会计准则的企业)'!$D$9</definedName>
    <definedName name="sheet0_f_h3l3" localSheetId="1">'资产负债表(适用执行小企业会计准则的企业)'!$F$10</definedName>
    <definedName name="sheet0_f_h3l3">'利润表月报(适用执行小企业会计准则的企业)'!$E$9</definedName>
    <definedName name="sheet0_f_h3l5">'资产负债表(适用执行小企业会计准则的企业)'!$I$10</definedName>
    <definedName name="sheet0_f_h3l6">'资产负债表(适用执行小企业会计准则的企业)'!$J$10</definedName>
    <definedName name="sheet0_f_h4l2" localSheetId="1">'资产负债表(适用执行小企业会计准则的企业)'!$E$11</definedName>
    <definedName name="sheet0_f_h4l2">'利润表月报(适用执行小企业会计准则的企业)'!$D$10</definedName>
    <definedName name="sheet0_f_h4l3" localSheetId="1">'资产负债表(适用执行小企业会计准则的企业)'!$F$11</definedName>
    <definedName name="sheet0_f_h4l3">'利润表月报(适用执行小企业会计准则的企业)'!$E$10</definedName>
    <definedName name="sheet0_f_h4l5">'资产负债表(适用执行小企业会计准则的企业)'!$I$11</definedName>
    <definedName name="sheet0_f_h4l6">'资产负债表(适用执行小企业会计准则的企业)'!$J$11</definedName>
    <definedName name="sheet0_f_h5l2" localSheetId="1">'资产负债表(适用执行小企业会计准则的企业)'!$E$12</definedName>
    <definedName name="sheet0_f_h5l2">'利润表月报(适用执行小企业会计准则的企业)'!$D$11</definedName>
    <definedName name="sheet0_f_h5l3" localSheetId="1">'资产负债表(适用执行小企业会计准则的企业)'!$F$12</definedName>
    <definedName name="sheet0_f_h5l3">'利润表月报(适用执行小企业会计准则的企业)'!$E$11</definedName>
    <definedName name="sheet0_f_h5l5">'资产负债表(适用执行小企业会计准则的企业)'!$I$12</definedName>
    <definedName name="sheet0_f_h5l6">'资产负债表(适用执行小企业会计准则的企业)'!$J$12</definedName>
    <definedName name="sheet0_f_h6l2" localSheetId="1">'资产负债表(适用执行小企业会计准则的企业)'!$E$13</definedName>
    <definedName name="sheet0_f_h6l2">'利润表月报(适用执行小企业会计准则的企业)'!$D$12</definedName>
    <definedName name="sheet0_f_h6l3" localSheetId="1">'资产负债表(适用执行小企业会计准则的企业)'!$F$13</definedName>
    <definedName name="sheet0_f_h6l3">'利润表月报(适用执行小企业会计准则的企业)'!$E$12</definedName>
    <definedName name="sheet0_f_h6l5">'资产负债表(适用执行小企业会计准则的企业)'!$I$13</definedName>
    <definedName name="sheet0_f_h6l6">'资产负债表(适用执行小企业会计准则的企业)'!$J$13</definedName>
    <definedName name="sheet0_f_h7l2" localSheetId="1">'资产负债表(适用执行小企业会计准则的企业)'!$E$14</definedName>
    <definedName name="sheet0_f_h7l2">'利润表月报(适用执行小企业会计准则的企业)'!$D$13</definedName>
    <definedName name="sheet0_f_h7l3" localSheetId="1">'资产负债表(适用执行小企业会计准则的企业)'!$F$14</definedName>
    <definedName name="sheet0_f_h7l3">'利润表月报(适用执行小企业会计准则的企业)'!$E$13</definedName>
    <definedName name="sheet0_f_h7l5">'资产负债表(适用执行小企业会计准则的企业)'!$I$14</definedName>
    <definedName name="sheet0_f_h7l6">'资产负债表(适用执行小企业会计准则的企业)'!$J$14</definedName>
    <definedName name="sheet0_f_h8l2" localSheetId="1">'资产负债表(适用执行小企业会计准则的企业)'!$E$15</definedName>
    <definedName name="sheet0_f_h8l2">'利润表月报(适用执行小企业会计准则的企业)'!$D$14</definedName>
    <definedName name="sheet0_f_h8l3" localSheetId="1">'资产负债表(适用执行小企业会计准则的企业)'!$F$15</definedName>
    <definedName name="sheet0_f_h8l3">'利润表月报(适用执行小企业会计准则的企业)'!$E$14</definedName>
    <definedName name="sheet0_f_h8l5">'资产负债表(适用执行小企业会计准则的企业)'!$I$15</definedName>
    <definedName name="sheet0_f_h8l6">'资产负债表(适用执行小企业会计准则的企业)'!$J$15</definedName>
    <definedName name="sheet0_f_h9l2" localSheetId="1">'资产负债表(适用执行小企业会计准则的企业)'!$E$16</definedName>
    <definedName name="sheet0_f_h9l2">'利润表月报(适用执行小企业会计准则的企业)'!$D$15</definedName>
    <definedName name="sheet0_f_h9l3" localSheetId="1">'资产负债表(适用执行小企业会计准则的企业)'!$F$16</definedName>
    <definedName name="sheet0_f_h9l3">'利润表月报(适用执行小企业会计准则的企业)'!$E$15</definedName>
    <definedName name="sheet0_f_h9l5">'资产负债表(适用执行小企业会计准则的企业)'!$I$16</definedName>
    <definedName name="sheet0_f_h9l6">'资产负债表(适用执行小企业会计准则的企业)'!$J$16</definedName>
    <definedName name="sheet0_fvo_classname" localSheetId="1">'资产负债表(适用执行小企业会计准则的企业)'!$C$2</definedName>
    <definedName name="sheet0_fvo_classname">'利润表月报(适用执行小企业会计准则的企业)'!$B$2</definedName>
    <definedName name="报表">报表!$A$4:$M$31</definedName>
  </definedNames>
  <calcPr calcId="152511"/>
</workbook>
</file>

<file path=xl/calcChain.xml><?xml version="1.0" encoding="utf-8"?>
<calcChain xmlns="http://schemas.openxmlformats.org/spreadsheetml/2006/main">
  <c r="B3" i="1" l="1"/>
  <c r="B13" i="1"/>
  <c r="B11" i="1"/>
  <c r="B12" i="1"/>
  <c r="F8" i="9"/>
  <c r="E8" i="9"/>
  <c r="E20" i="9"/>
  <c r="E15" i="9"/>
  <c r="E12" i="9"/>
  <c r="E14" i="9"/>
  <c r="E16" i="9"/>
  <c r="E9" i="9"/>
  <c r="E10" i="9"/>
  <c r="E18" i="9"/>
  <c r="E17" i="9"/>
  <c r="E11" i="9"/>
  <c r="E19" i="9"/>
  <c r="E13" i="9"/>
  <c r="E21" i="9"/>
  <c r="E26" i="9"/>
  <c r="E27" i="9"/>
  <c r="E24" i="9"/>
  <c r="E25" i="9"/>
  <c r="E35" i="9"/>
  <c r="E29" i="9"/>
  <c r="E30" i="9"/>
  <c r="E31" i="9"/>
  <c r="E32" i="9"/>
  <c r="E33" i="9"/>
  <c r="E34" i="9"/>
  <c r="E36" i="9"/>
  <c r="F13" i="9"/>
  <c r="F14" i="9"/>
  <c r="F16" i="9"/>
  <c r="F9" i="9"/>
  <c r="F17" i="9"/>
  <c r="F15" i="9"/>
  <c r="F10" i="9"/>
  <c r="F18" i="9"/>
  <c r="F11" i="9"/>
  <c r="F19" i="9"/>
  <c r="F20" i="9"/>
  <c r="F12" i="9"/>
  <c r="F21" i="9"/>
  <c r="F24" i="9"/>
  <c r="F26" i="9"/>
  <c r="F27" i="9"/>
  <c r="F25" i="9"/>
  <c r="F34" i="9"/>
  <c r="F30" i="9"/>
  <c r="F31" i="9"/>
  <c r="F29" i="9"/>
  <c r="F32" i="9"/>
  <c r="F33" i="9"/>
  <c r="F35" i="9"/>
  <c r="F36" i="9"/>
  <c r="I8" i="9"/>
  <c r="J8" i="9"/>
  <c r="I10" i="9"/>
  <c r="I11" i="9"/>
  <c r="I12" i="9"/>
  <c r="I13" i="9"/>
  <c r="I14" i="9"/>
  <c r="I9" i="9"/>
  <c r="I15" i="9"/>
  <c r="I16" i="9"/>
  <c r="I17" i="9"/>
  <c r="J16" i="9"/>
  <c r="J10" i="9"/>
  <c r="J11" i="9"/>
  <c r="J12" i="9"/>
  <c r="J9" i="9"/>
  <c r="J13" i="9"/>
  <c r="J14" i="9"/>
  <c r="J15" i="9"/>
  <c r="J17" i="9"/>
  <c r="J22" i="9"/>
  <c r="J23" i="9"/>
  <c r="J20" i="9"/>
  <c r="J21" i="9"/>
  <c r="J36" i="9"/>
  <c r="J35" i="9"/>
  <c r="J33" i="9"/>
  <c r="J34" i="9"/>
  <c r="I20" i="9"/>
  <c r="I21" i="9"/>
  <c r="I22" i="9"/>
  <c r="I23" i="9"/>
  <c r="I33" i="9"/>
  <c r="I34" i="9"/>
  <c r="I35" i="9"/>
  <c r="I36" i="9"/>
  <c r="E7" i="8"/>
  <c r="E13" i="8"/>
  <c r="D14" i="8"/>
  <c r="D15" i="8"/>
  <c r="D23" i="8"/>
  <c r="E11" i="8"/>
  <c r="E15" i="8"/>
  <c r="E19" i="8"/>
  <c r="E23" i="8"/>
  <c r="E17" i="8"/>
  <c r="D10" i="8"/>
  <c r="D11" i="8"/>
  <c r="D19" i="8"/>
  <c r="D8" i="8"/>
  <c r="D12" i="8"/>
  <c r="D16" i="8"/>
  <c r="D20" i="8"/>
  <c r="D24" i="8"/>
  <c r="E9" i="8"/>
  <c r="D22" i="8"/>
  <c r="E8" i="8"/>
  <c r="E16" i="8"/>
  <c r="E20" i="8"/>
  <c r="E24" i="8"/>
  <c r="D18" i="8"/>
  <c r="E12" i="8"/>
  <c r="D9" i="8"/>
  <c r="D13" i="8"/>
  <c r="D17" i="8"/>
  <c r="D21" i="8"/>
  <c r="D25" i="8"/>
  <c r="E25" i="8"/>
  <c r="D26" i="8"/>
  <c r="E21" i="8"/>
  <c r="E10" i="8"/>
  <c r="E14" i="8"/>
  <c r="E18" i="8"/>
  <c r="E22" i="8"/>
  <c r="E26" i="8"/>
  <c r="D28" i="8"/>
  <c r="E28" i="8"/>
  <c r="E32" i="8"/>
  <c r="D32" i="8"/>
  <c r="D29" i="8"/>
  <c r="D33" i="8"/>
  <c r="E33" i="8"/>
  <c r="E29" i="8"/>
  <c r="D30" i="8"/>
  <c r="D34" i="8"/>
  <c r="E30" i="8"/>
  <c r="E34" i="8"/>
  <c r="E31" i="8"/>
  <c r="D31" i="8"/>
  <c r="D35" i="8"/>
  <c r="E35" i="8"/>
  <c r="D37" i="8"/>
  <c r="E37" i="8"/>
  <c r="D7" i="8"/>
  <c r="D27" i="8" l="1"/>
  <c r="D36" i="8" s="1"/>
  <c r="D38" i="8" s="1"/>
  <c r="E27" i="8"/>
  <c r="E36" i="8" s="1"/>
  <c r="E38" i="8" s="1"/>
  <c r="I37" i="9"/>
  <c r="I24" i="9"/>
  <c r="J37" i="9"/>
  <c r="J24" i="9"/>
  <c r="J18" i="9"/>
  <c r="J25" i="9" s="1"/>
  <c r="I18" i="9"/>
  <c r="I25" i="9" s="1"/>
  <c r="F28" i="9"/>
  <c r="F37" i="9" s="1"/>
  <c r="F38" i="9" s="1"/>
  <c r="E28" i="9"/>
  <c r="E37" i="9" s="1"/>
  <c r="E38" i="9" s="1"/>
  <c r="E22" i="9"/>
  <c r="F22" i="9"/>
  <c r="C6" i="1"/>
  <c r="J38" i="9" l="1"/>
  <c r="I38" i="9"/>
</calcChain>
</file>

<file path=xl/connections.xml><?xml version="1.0" encoding="utf-8"?>
<connections xmlns="http://schemas.openxmlformats.org/spreadsheetml/2006/main">
  <connection id="1" name="Connessione" type="4" refreshedVersion="0" background="1">
    <webPr url="http://localhost:8081/v1/doc/company-2014.ac2/info/Base/FileName" htmlTables="1" htmlFormat="all"/>
  </connection>
  <connection id="2" name="Connessione1" type="4" refreshedVersion="0" background="1">
    <webPr url="http://localhost:8081/v1/doc/company-2015.ac2/info/Base/FileName" htmlTables="1" htmlFormat="all"/>
  </connection>
  <connection id="3" name="Connessione2" type="4" refreshedVersion="0" background="1">
    <webPr url="http://localhost:8081/v1/doc/company-2014.ac2/info/Base/FileName" htmlTables="1" htmlFormat="all"/>
  </connection>
  <connection id="4" name="Connessione3" type="4" refreshedVersion="0" background="1">
    <webPr url="http://localhost:8081/v1/doc/company-2015.ac2/info/Base/FileName" htmlTables="1" htmlFormat="all"/>
  </connection>
  <connection id="5" name="Connessione4" type="4" refreshedVersion="0" background="1">
    <webPr url="http://localhost:8081/v1/doc/company-2014.ac2/info/Base/FileName" htmlTables="1" htmlFormat="all"/>
  </connection>
  <connection id="6" name="Connessione5" type="4" refreshedVersion="0" background="1">
    <webPr url="http://localhost:8081/v1/doc/company-2015.ac2/info/Base/FileName" htmlTables="1" htmlFormat="all"/>
  </connection>
</connections>
</file>

<file path=xl/sharedStrings.xml><?xml version="1.0" encoding="utf-8"?>
<sst xmlns="http://schemas.openxmlformats.org/spreadsheetml/2006/main" count="604" uniqueCount="241">
  <si>
    <t>Macro RecalculateAll (Ctrl+R)</t>
  </si>
  <si>
    <t>Retrieve data from Banana Accounting</t>
  </si>
  <si>
    <t>'</t>
  </si>
  <si>
    <t>' Licensed under the Apache License, Version 2.0 (the "License");</t>
  </si>
  <si>
    <t>' you may not use this file except in compliance with the License.</t>
  </si>
  <si>
    <t>' You may obtain a copy of the License at</t>
  </si>
  <si>
    <t>' http://www.apache.org/licenses/LICENSE-2.0</t>
  </si>
  <si>
    <t>' Unless required by applicable law or agreed to in writing, software</t>
  </si>
  <si>
    <t>' distributed under the License is distributed on an "AS IS" BASIS,</t>
  </si>
  <si>
    <t>' WITHOUT WARRANTIES OR CONDITIONS OF ANY KIND, either express or implied.</t>
  </si>
  <si>
    <t>' See the License for the specific language governing permissions and</t>
  </si>
  <si>
    <t>' limitations under the License.</t>
  </si>
  <si>
    <t>2. Open Banana Accounting files</t>
  </si>
  <si>
    <t>License terms</t>
  </si>
  <si>
    <t>3. Recalculate spreadsheet  B (Data is not retrieved without full recalculation)</t>
  </si>
  <si>
    <t>Banana Functions version</t>
  </si>
  <si>
    <t>File0</t>
  </si>
  <si>
    <t>File1</t>
  </si>
  <si>
    <t>Documentation</t>
  </si>
  <si>
    <t>1. Be sure that Banana Accounting is running</t>
  </si>
  <si>
    <t>Insert here file name current year</t>
  </si>
  <si>
    <t>Use File0 in the formula for file current year</t>
  </si>
  <si>
    <t>File name previous year</t>
  </si>
  <si>
    <t>File name year -2</t>
  </si>
  <si>
    <t>File2</t>
  </si>
  <si>
    <t>If Banana is not open the query take a long time</t>
  </si>
  <si>
    <t xml:space="preserve"> Copyright (C) 2015 Banana.ch SA</t>
  </si>
  <si>
    <t>Use File1 in the formula for file previous year</t>
  </si>
  <si>
    <t>Disable connection</t>
  </si>
  <si>
    <t>Insert 1 to disable connection to Banana Web Server</t>
  </si>
  <si>
    <t>If you wanto to work on the sheet without Banana running</t>
  </si>
  <si>
    <t xml:space="preserve">C:/Users/domen_000/Documents/GitHub/General/SampleFiles/company-2014.ac2 </t>
  </si>
  <si>
    <t>利润表(适用执行小企业会计准则的企业)</t>
    <phoneticPr fontId="2" type="noConversion"/>
  </si>
  <si>
    <t>gov.gt3.vo.sbzs.sb.sb104.SyxqylrbVO</t>
  </si>
  <si>
    <t>纳税人基本信息</t>
    <phoneticPr fontId="2" type="noConversion"/>
  </si>
  <si>
    <t>纳税人识别号:</t>
    <phoneticPr fontId="2" type="noConversion"/>
  </si>
  <si>
    <r>
      <rPr>
        <b/>
        <sz val="11"/>
        <rFont val="宋体"/>
        <charset val="134"/>
      </rPr>
      <t>纳税人名称</t>
    </r>
    <r>
      <rPr>
        <b/>
        <sz val="11"/>
        <rFont val="Arial"/>
        <family val="2"/>
      </rPr>
      <t>:</t>
    </r>
  </si>
  <si>
    <t>报送日期:</t>
    <phoneticPr fontId="2" type="noConversion"/>
  </si>
  <si>
    <r>
      <rPr>
        <b/>
        <sz val="11"/>
        <rFont val="宋体"/>
        <charset val="134"/>
      </rPr>
      <t>所属时期起</t>
    </r>
    <r>
      <rPr>
        <b/>
        <sz val="11"/>
        <rFont val="Arial"/>
        <family val="2"/>
      </rPr>
      <t>:</t>
    </r>
  </si>
  <si>
    <r>
      <rPr>
        <b/>
        <sz val="11"/>
        <rFont val="宋体"/>
        <charset val="134"/>
      </rPr>
      <t>所属时期止</t>
    </r>
    <r>
      <rPr>
        <b/>
        <sz val="11"/>
        <rFont val="Arial"/>
        <family val="2"/>
      </rPr>
      <t>:</t>
    </r>
  </si>
  <si>
    <t>项   目</t>
    <phoneticPr fontId="2" type="noConversion"/>
  </si>
  <si>
    <t>行次</t>
  </si>
  <si>
    <t>本年累计金额</t>
  </si>
  <si>
    <t>本月金额</t>
  </si>
  <si>
    <t>1</t>
  </si>
  <si>
    <t>减:营业成本</t>
  </si>
  <si>
    <t>2</t>
  </si>
  <si>
    <t>营业税金及附加</t>
  </si>
  <si>
    <t>3</t>
  </si>
  <si>
    <t>其中:消费税</t>
  </si>
  <si>
    <t>4</t>
  </si>
  <si>
    <t>营业税</t>
  </si>
  <si>
    <t>5</t>
  </si>
  <si>
    <t>城市维护建设税</t>
  </si>
  <si>
    <t>6</t>
  </si>
  <si>
    <t>资源税</t>
  </si>
  <si>
    <t>7</t>
  </si>
  <si>
    <t>土地增值税</t>
  </si>
  <si>
    <t>8</t>
  </si>
  <si>
    <t>城镇土地使用税、房产税、车船税、印花税</t>
  </si>
  <si>
    <t>9</t>
  </si>
  <si>
    <t>教育费附加、矿产资源补偿费、排污费</t>
  </si>
  <si>
    <t>10</t>
  </si>
  <si>
    <t>销售费用</t>
  </si>
  <si>
    <t>11</t>
  </si>
  <si>
    <t>其中:商品维修费</t>
  </si>
  <si>
    <t>12</t>
  </si>
  <si>
    <t>广告费和业务宣传费</t>
  </si>
  <si>
    <t>13</t>
  </si>
  <si>
    <t>管理费用</t>
  </si>
  <si>
    <t>14</t>
  </si>
  <si>
    <t>其中:开办费</t>
  </si>
  <si>
    <t>15</t>
  </si>
  <si>
    <t>业务招待费</t>
  </si>
  <si>
    <t>16</t>
  </si>
  <si>
    <t>研究费用</t>
  </si>
  <si>
    <t>17</t>
  </si>
  <si>
    <t>财务费用</t>
  </si>
  <si>
    <t>18</t>
  </si>
  <si>
    <t>其中:利息费用(收入以&amp;ndash;填列)</t>
  </si>
  <si>
    <t>19</t>
  </si>
  <si>
    <t>加：投资收益(亏损以-填列)</t>
    <phoneticPr fontId="2" type="noConversion"/>
  </si>
  <si>
    <t>20</t>
  </si>
  <si>
    <t>二、营业利润(亏损以-号填列)</t>
    <phoneticPr fontId="2" type="noConversion"/>
  </si>
  <si>
    <t>21</t>
  </si>
  <si>
    <t>加:营业外收入</t>
  </si>
  <si>
    <t>22</t>
  </si>
  <si>
    <t>其中:政府补助</t>
  </si>
  <si>
    <t>23</t>
  </si>
  <si>
    <t>减:营业外支出</t>
  </si>
  <si>
    <t>24</t>
  </si>
  <si>
    <t>其中:坏账损失</t>
  </si>
  <si>
    <t>25</t>
  </si>
  <si>
    <t>无法收回的长期债券投资损失</t>
  </si>
  <si>
    <t>26</t>
  </si>
  <si>
    <t>无法收回的长期股权投资损失</t>
  </si>
  <si>
    <t>27</t>
  </si>
  <si>
    <t>自然灾害等不可抗力因素造成的损失</t>
  </si>
  <si>
    <t>28</t>
  </si>
  <si>
    <t>税收滞纳金</t>
  </si>
  <si>
    <t>29</t>
  </si>
  <si>
    <t>三、利润总额(亏损总额以-号填列)</t>
    <phoneticPr fontId="2" type="noConversion"/>
  </si>
  <si>
    <t>30</t>
  </si>
  <si>
    <t>减:所得税费用</t>
  </si>
  <si>
    <t>31</t>
  </si>
  <si>
    <t>四、净利润(净亏损以-号填列)</t>
    <phoneticPr fontId="2" type="noConversion"/>
  </si>
  <si>
    <t>32</t>
  </si>
  <si>
    <t>一、营业收入</t>
  </si>
  <si>
    <t>example2016.ac2</t>
  </si>
  <si>
    <t>资产负债表(适用执行小企业会计准则的企业)</t>
  </si>
  <si>
    <t>gov.gt3.vo.sbzs.sb.sb104.Xqycwkjzzcwbszywbw</t>
  </si>
  <si>
    <t>纳税人名称:</t>
    <phoneticPr fontId="2" type="noConversion"/>
  </si>
  <si>
    <t>所属时期起:</t>
    <phoneticPr fontId="2" type="noConversion"/>
  </si>
  <si>
    <t>所属时期止:</t>
    <phoneticPr fontId="2" type="noConversion"/>
  </si>
  <si>
    <t>资 产</t>
  </si>
  <si>
    <t>期末余额</t>
  </si>
  <si>
    <t>年初余额</t>
  </si>
  <si>
    <t>负债和所有者权益</t>
  </si>
  <si>
    <t>流动资产:</t>
  </si>
  <si>
    <t>流动负债:</t>
  </si>
  <si>
    <t xml:space="preserve">  货币资金</t>
    <phoneticPr fontId="2" type="noConversion"/>
  </si>
  <si>
    <t xml:space="preserve">  短期借款</t>
    <phoneticPr fontId="2" type="noConversion"/>
  </si>
  <si>
    <t xml:space="preserve">  短期投资</t>
    <phoneticPr fontId="2" type="noConversion"/>
  </si>
  <si>
    <t xml:space="preserve">  应付票据</t>
    <phoneticPr fontId="2" type="noConversion"/>
  </si>
  <si>
    <t xml:space="preserve">  应收票据</t>
    <phoneticPr fontId="2" type="noConversion"/>
  </si>
  <si>
    <t xml:space="preserve">  应付账款</t>
    <phoneticPr fontId="2" type="noConversion"/>
  </si>
  <si>
    <t>33</t>
  </si>
  <si>
    <t xml:space="preserve">  应收账款</t>
    <phoneticPr fontId="2" type="noConversion"/>
  </si>
  <si>
    <t xml:space="preserve">  预收账款</t>
    <phoneticPr fontId="2" type="noConversion"/>
  </si>
  <si>
    <t>34</t>
  </si>
  <si>
    <t xml:space="preserve">  预付账款</t>
    <phoneticPr fontId="2" type="noConversion"/>
  </si>
  <si>
    <t xml:space="preserve">  应付职工薪酬</t>
    <phoneticPr fontId="2" type="noConversion"/>
  </si>
  <si>
    <t>35</t>
  </si>
  <si>
    <t xml:space="preserve">  应收股利</t>
    <phoneticPr fontId="2" type="noConversion"/>
  </si>
  <si>
    <t xml:space="preserve">  应交税费</t>
    <phoneticPr fontId="2" type="noConversion"/>
  </si>
  <si>
    <t>36</t>
  </si>
  <si>
    <t xml:space="preserve">  应收利息</t>
    <phoneticPr fontId="2" type="noConversion"/>
  </si>
  <si>
    <t xml:space="preserve">  应付利息</t>
    <phoneticPr fontId="2" type="noConversion"/>
  </si>
  <si>
    <t>37</t>
  </si>
  <si>
    <t xml:space="preserve">  其他应收款</t>
    <phoneticPr fontId="2" type="noConversion"/>
  </si>
  <si>
    <t xml:space="preserve">  应付利润</t>
    <phoneticPr fontId="2" type="noConversion"/>
  </si>
  <si>
    <t>38</t>
  </si>
  <si>
    <t xml:space="preserve">  存货</t>
    <phoneticPr fontId="2" type="noConversion"/>
  </si>
  <si>
    <t xml:space="preserve">  其他应付款</t>
    <phoneticPr fontId="2" type="noConversion"/>
  </si>
  <si>
    <t>39</t>
  </si>
  <si>
    <t xml:space="preserve">  其中:原材料</t>
    <phoneticPr fontId="2" type="noConversion"/>
  </si>
  <si>
    <t xml:space="preserve">  其他流动负债</t>
    <phoneticPr fontId="2" type="noConversion"/>
  </si>
  <si>
    <t>40</t>
  </si>
  <si>
    <t xml:space="preserve">  在产品</t>
    <phoneticPr fontId="2" type="noConversion"/>
  </si>
  <si>
    <t xml:space="preserve">  流动负债合计</t>
    <phoneticPr fontId="2" type="noConversion"/>
  </si>
  <si>
    <t>41</t>
  </si>
  <si>
    <t xml:space="preserve">  库存商品</t>
    <phoneticPr fontId="2" type="noConversion"/>
  </si>
  <si>
    <t>非流动负债:</t>
  </si>
  <si>
    <t xml:space="preserve">  周转材料</t>
    <phoneticPr fontId="2" type="noConversion"/>
  </si>
  <si>
    <t xml:space="preserve">  长期借款</t>
    <phoneticPr fontId="2" type="noConversion"/>
  </si>
  <si>
    <t>42</t>
  </si>
  <si>
    <t xml:space="preserve">  其他流动资产</t>
    <phoneticPr fontId="2" type="noConversion"/>
  </si>
  <si>
    <t xml:space="preserve">  长期应付款</t>
    <phoneticPr fontId="2" type="noConversion"/>
  </si>
  <si>
    <t>43</t>
  </si>
  <si>
    <t xml:space="preserve">  流动资产合计</t>
    <phoneticPr fontId="2" type="noConversion"/>
  </si>
  <si>
    <t xml:space="preserve">  递延收益</t>
    <phoneticPr fontId="2" type="noConversion"/>
  </si>
  <si>
    <t>44</t>
  </si>
  <si>
    <t>非流动资产:</t>
    <phoneticPr fontId="2" type="noConversion"/>
  </si>
  <si>
    <t xml:space="preserve">  其他非流动负债</t>
    <phoneticPr fontId="2" type="noConversion"/>
  </si>
  <si>
    <t>45</t>
  </si>
  <si>
    <t xml:space="preserve">  长期债券投资</t>
    <phoneticPr fontId="2" type="noConversion"/>
  </si>
  <si>
    <t xml:space="preserve">  非流动负债合计</t>
    <phoneticPr fontId="2" type="noConversion"/>
  </si>
  <si>
    <t>46</t>
  </si>
  <si>
    <t xml:space="preserve">  长期股权投资</t>
    <phoneticPr fontId="2" type="noConversion"/>
  </si>
  <si>
    <t xml:space="preserve">  负债合计</t>
    <phoneticPr fontId="2" type="noConversion"/>
  </si>
  <si>
    <t>47</t>
  </si>
  <si>
    <t xml:space="preserve">  固定资产原价</t>
    <phoneticPr fontId="2" type="noConversion"/>
  </si>
  <si>
    <t/>
  </si>
  <si>
    <t>&lt;th&gt;</t>
  </si>
  <si>
    <t>&lt;/th&gt;</t>
  </si>
  <si>
    <t xml:space="preserve">  减:累计折旧</t>
    <phoneticPr fontId="2" type="noConversion"/>
  </si>
  <si>
    <t xml:space="preserve">  固定资产账面价值</t>
    <phoneticPr fontId="2" type="noConversion"/>
  </si>
  <si>
    <t xml:space="preserve">  在建工程</t>
    <phoneticPr fontId="2" type="noConversion"/>
  </si>
  <si>
    <t xml:space="preserve">  工程物资</t>
    <phoneticPr fontId="2" type="noConversion"/>
  </si>
  <si>
    <t xml:space="preserve">  固定资产清理</t>
    <phoneticPr fontId="2" type="noConversion"/>
  </si>
  <si>
    <t xml:space="preserve">  生物性生物资产</t>
    <phoneticPr fontId="2" type="noConversion"/>
  </si>
  <si>
    <t>所有者权益(或股东权益):</t>
    <phoneticPr fontId="2" type="noConversion"/>
  </si>
  <si>
    <t xml:space="preserve">  无形资产</t>
    <phoneticPr fontId="2" type="noConversion"/>
  </si>
  <si>
    <t xml:space="preserve">  实收资本(或股本)</t>
    <phoneticPr fontId="2" type="noConversion"/>
  </si>
  <si>
    <t>48</t>
  </si>
  <si>
    <t xml:space="preserve">  开发支出</t>
    <phoneticPr fontId="2" type="noConversion"/>
  </si>
  <si>
    <t xml:space="preserve">  资本公积</t>
    <phoneticPr fontId="2" type="noConversion"/>
  </si>
  <si>
    <t>49</t>
  </si>
  <si>
    <t xml:space="preserve">  长期待摊费用</t>
    <phoneticPr fontId="2" type="noConversion"/>
  </si>
  <si>
    <t xml:space="preserve">  盈余公积</t>
    <phoneticPr fontId="2" type="noConversion"/>
  </si>
  <si>
    <t>50</t>
  </si>
  <si>
    <t xml:space="preserve">  其他非流动资产</t>
    <phoneticPr fontId="2" type="noConversion"/>
  </si>
  <si>
    <t xml:space="preserve">  未分配利润</t>
    <phoneticPr fontId="2" type="noConversion"/>
  </si>
  <si>
    <t>51</t>
  </si>
  <si>
    <t xml:space="preserve">  非流动资产合计</t>
    <phoneticPr fontId="2" type="noConversion"/>
  </si>
  <si>
    <t xml:space="preserve">  所有者权益(或股东权益)合计</t>
    <phoneticPr fontId="2" type="noConversion"/>
  </si>
  <si>
    <t>52</t>
  </si>
  <si>
    <t xml:space="preserve">  资产合计</t>
    <phoneticPr fontId="2" type="noConversion"/>
  </si>
  <si>
    <t xml:space="preserve">  负债和所有者权益(或股东权益)总计</t>
    <phoneticPr fontId="2" type="noConversion"/>
  </si>
  <si>
    <t>53</t>
  </si>
  <si>
    <t>所有者权益变动表(适用执行小企业会计准则的企业)</t>
    <phoneticPr fontId="4" type="noConversion"/>
  </si>
  <si>
    <t>纳税人基本信息</t>
    <phoneticPr fontId="4" type="noConversion"/>
  </si>
  <si>
    <t>纳税人识别号:</t>
    <phoneticPr fontId="4" type="noConversion"/>
  </si>
  <si>
    <t>报送日期:</t>
    <phoneticPr fontId="4" type="noConversion"/>
  </si>
  <si>
    <t>项目</t>
  </si>
  <si>
    <t>实收资本（或股本）</t>
  </si>
  <si>
    <t>资本公积</t>
  </si>
  <si>
    <t>减：库存股</t>
  </si>
  <si>
    <t>盈余公积</t>
  </si>
  <si>
    <t>未分配利润</t>
  </si>
  <si>
    <t>所有者权益合计</t>
  </si>
  <si>
    <t>一、上年年末余额</t>
  </si>
  <si>
    <t>0</t>
  </si>
  <si>
    <t xml:space="preserve">  加：会计政策变更</t>
  </si>
  <si>
    <t xml:space="preserve">      前期差错更正</t>
  </si>
  <si>
    <t>二、本年年初余额</t>
  </si>
  <si>
    <t>三、本年增减变动金额（减少以“-”号填列）</t>
  </si>
  <si>
    <t xml:space="preserve">  （一）净利润</t>
  </si>
  <si>
    <t xml:space="preserve">  （二）直接计入所有者权益的利得和损失</t>
  </si>
  <si>
    <t xml:space="preserve">   1、可供出售金融资产公允价值变动净额</t>
  </si>
  <si>
    <t xml:space="preserve">   2、权益法下被投资单位其他所有者权益变动的影响</t>
  </si>
  <si>
    <t xml:space="preserve">   3、与计入所有者权益项目相关的所得税影响</t>
  </si>
  <si>
    <t xml:space="preserve">   4、其他</t>
  </si>
  <si>
    <t xml:space="preserve">     上述（一）和（二）小计</t>
  </si>
  <si>
    <t xml:space="preserve">  （三）所有者投入和减少资本</t>
  </si>
  <si>
    <t xml:space="preserve">   1、所有者投入资本</t>
  </si>
  <si>
    <t xml:space="preserve">   2、股份支付计入所有者权益的金额</t>
  </si>
  <si>
    <t xml:space="preserve">   3、其他</t>
  </si>
  <si>
    <t xml:space="preserve">  （四）利润分配</t>
  </si>
  <si>
    <t xml:space="preserve">   1、提取盈余公积</t>
  </si>
  <si>
    <t xml:space="preserve">   2、对所有者（或股东）的分配</t>
  </si>
  <si>
    <t xml:space="preserve">  （五）所有者权益内部结转</t>
  </si>
  <si>
    <t xml:space="preserve">   1、资本公积转增资本（或股本）</t>
  </si>
  <si>
    <t xml:space="preserve">   2、盈余公积转增资本（或股本）</t>
  </si>
  <si>
    <t xml:space="preserve">   3、盈余公积弥补亏损</t>
  </si>
  <si>
    <t>四、本年年末余额</t>
  </si>
  <si>
    <t>Assets</t>
  </si>
  <si>
    <t>Group</t>
  </si>
  <si>
    <t>Month</t>
  </si>
  <si>
    <t>M2</t>
  </si>
  <si>
    <t>Liabilities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</si>
</sst>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 * #,##0.00_ ;_ * \-#,##0.00_ ;_ * &quot;-&quot;??_ ;_ @_ "/>
    <numFmt numFmtId="164" formatCode="[$-F800]dddd\,\ mmmm\ dd\,\ yyyy"/>
    <numFmt numFmtId="166" formatCode="0.00_ "/>
  </numFmts>
  <fonts count="25">
    <font>
      <sz val="11"/>
      <color theme="1"/>
      <name val="Calibri"/>
      <family val="2"/>
      <scheme val="minor"/>
    </font>
    <font>
      <sz val="7"/>
      <color theme="1"/>
      <name val="Arial Unicode MS"/>
      <family val="2"/>
    </font>
    <font>
      <b/>
      <sz val="7"/>
      <color theme="1"/>
      <name val="Arial Unicode MS"/>
      <family val="2"/>
    </font>
    <font>
      <b/>
      <i/>
      <sz val="7"/>
      <color theme="1"/>
      <name val="Arial Unicode MS"/>
      <family val="2"/>
    </font>
    <font>
      <b/>
      <sz val="8"/>
      <color theme="1"/>
      <name val="Arial Unicode MS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1"/>
      <color indexed="8"/>
      <name val="宋体"/>
      <charset val="134"/>
    </font>
    <font>
      <b/>
      <sz val="11"/>
      <name val="宋体"/>
      <charset val="134"/>
    </font>
    <font>
      <b/>
      <sz val="10"/>
      <name val="Arial"/>
      <family val="2"/>
    </font>
    <font>
      <b/>
      <sz val="11"/>
      <name val="Arial"/>
      <family val="2"/>
    </font>
    <font>
      <sz val="11"/>
      <name val="宋体"/>
      <charset val="134"/>
    </font>
    <font>
      <sz val="10"/>
      <name val="MS Sans Serif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44"/>
      </top>
      <bottom/>
      <diagonal/>
    </border>
  </borders>
  <cellStyleXfs count="5">
    <xf numFmtId="0" fontId="0" fillId="0" borderId="0"/>
    <xf numFmtId="43" fontId="5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8" fillId="0" borderId="0"/>
    <xf numFmtId="0" fontId="24" fillId="0" borderId="0"/>
  </cellStyleXfs>
  <cellXfs count="63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14" fontId="0" fillId="0" borderId="0" xfId="0" applyNumberFormat="1"/>
    <xf numFmtId="0" fontId="6" fillId="0" borderId="0" xfId="0" applyFont="1"/>
    <xf numFmtId="0" fontId="0" fillId="0" borderId="0" xfId="0" applyAlignment="1"/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43" fontId="8" fillId="0" borderId="0" xfId="1" applyFont="1" applyAlignment="1"/>
    <xf numFmtId="0" fontId="9" fillId="0" borderId="0" xfId="0" applyFont="1" applyAlignment="1">
      <alignment vertical="center" wrapText="1"/>
    </xf>
    <xf numFmtId="43" fontId="8" fillId="0" borderId="0" xfId="1" applyFont="1"/>
    <xf numFmtId="164" fontId="7" fillId="0" borderId="0" xfId="0" applyNumberFormat="1" applyFont="1"/>
    <xf numFmtId="0" fontId="10" fillId="0" borderId="0" xfId="0" applyFont="1" applyAlignment="1">
      <alignment vertical="center" wrapText="1"/>
    </xf>
    <xf numFmtId="0" fontId="9" fillId="0" borderId="0" xfId="0" applyFont="1"/>
    <xf numFmtId="0" fontId="11" fillId="0" borderId="0" xfId="0" applyFont="1"/>
    <xf numFmtId="0" fontId="12" fillId="0" borderId="0" xfId="0" applyFont="1" applyFill="1"/>
    <xf numFmtId="0" fontId="0" fillId="2" borderId="0" xfId="0" applyFill="1"/>
    <xf numFmtId="0" fontId="0" fillId="0" borderId="0" xfId="0" applyFont="1"/>
    <xf numFmtId="0" fontId="0" fillId="0" borderId="0" xfId="0" quotePrefix="1"/>
    <xf numFmtId="0" fontId="13" fillId="0" borderId="0" xfId="2"/>
    <xf numFmtId="0" fontId="13" fillId="0" borderId="0" xfId="2" applyFont="1"/>
    <xf numFmtId="0" fontId="0" fillId="0" borderId="0" xfId="0" applyFill="1"/>
    <xf numFmtId="0" fontId="14" fillId="0" borderId="0" xfId="0" applyFont="1"/>
    <xf numFmtId="0" fontId="16" fillId="0" borderId="0" xfId="0" applyFont="1" applyAlignment="1">
      <alignment vertical="center"/>
    </xf>
    <xf numFmtId="0" fontId="17" fillId="0" borderId="0" xfId="0" applyFont="1"/>
    <xf numFmtId="0" fontId="0" fillId="0" borderId="0" xfId="0" quotePrefix="1" applyFont="1"/>
    <xf numFmtId="0" fontId="0" fillId="0" borderId="0" xfId="0" applyAlignment="1">
      <alignment horizontal="left"/>
    </xf>
    <xf numFmtId="0" fontId="19" fillId="0" borderId="3" xfId="3" applyFont="1" applyBorder="1" applyAlignment="1">
      <alignment horizontal="left"/>
    </xf>
    <xf numFmtId="0" fontId="20" fillId="0" borderId="0" xfId="3" applyFont="1"/>
    <xf numFmtId="0" fontId="21" fillId="0" borderId="0" xfId="3" applyFont="1"/>
    <xf numFmtId="0" fontId="20" fillId="0" borderId="0" xfId="3" applyFont="1" applyAlignment="1">
      <alignment horizontal="center"/>
    </xf>
    <xf numFmtId="0" fontId="21" fillId="0" borderId="0" xfId="3" applyFont="1" applyAlignment="1">
      <alignment horizontal="center"/>
    </xf>
    <xf numFmtId="0" fontId="20" fillId="0" borderId="0" xfId="3" applyFont="1" applyAlignment="1">
      <alignment horizontal="left"/>
    </xf>
    <xf numFmtId="0" fontId="22" fillId="0" borderId="0" xfId="3" applyFont="1" applyAlignment="1">
      <alignment horizontal="left"/>
    </xf>
    <xf numFmtId="0" fontId="18" fillId="0" borderId="0" xfId="3"/>
    <xf numFmtId="0" fontId="22" fillId="0" borderId="1" xfId="3" applyFont="1" applyBorder="1" applyAlignment="1">
      <alignment horizontal="left"/>
    </xf>
    <xf numFmtId="0" fontId="22" fillId="0" borderId="0" xfId="3" applyFont="1"/>
    <xf numFmtId="0" fontId="20" fillId="0" borderId="2" xfId="3" applyFont="1" applyBorder="1" applyAlignment="1">
      <alignment horizontal="center"/>
    </xf>
    <xf numFmtId="0" fontId="23" fillId="0" borderId="2" xfId="3" applyFont="1" applyBorder="1"/>
    <xf numFmtId="166" fontId="23" fillId="0" borderId="2" xfId="3" applyNumberFormat="1" applyFont="1" applyBorder="1"/>
    <xf numFmtId="166" fontId="23" fillId="3" borderId="2" xfId="3" applyNumberFormat="1" applyFont="1" applyFill="1" applyBorder="1"/>
    <xf numFmtId="0" fontId="23" fillId="0" borderId="0" xfId="3" applyFont="1"/>
    <xf numFmtId="0" fontId="20" fillId="0" borderId="1" xfId="3" applyFont="1" applyBorder="1" applyAlignment="1">
      <alignment horizontal="left"/>
    </xf>
    <xf numFmtId="0" fontId="20" fillId="0" borderId="0" xfId="3" applyFont="1" applyAlignment="1">
      <alignment horizontal="center"/>
    </xf>
    <xf numFmtId="0" fontId="23" fillId="0" borderId="2" xfId="3" applyFont="1" applyBorder="1" applyAlignment="1"/>
    <xf numFmtId="0" fontId="18" fillId="0" borderId="2" xfId="3" applyBorder="1" applyAlignment="1"/>
    <xf numFmtId="0" fontId="19" fillId="0" borderId="0" xfId="4" applyFont="1" applyBorder="1" applyAlignment="1">
      <alignment horizontal="center"/>
    </xf>
    <xf numFmtId="0" fontId="20" fillId="0" borderId="0" xfId="4" applyFont="1"/>
    <xf numFmtId="0" fontId="20" fillId="0" borderId="0" xfId="4" applyFont="1" applyAlignment="1">
      <alignment horizontal="center"/>
    </xf>
    <xf numFmtId="0" fontId="21" fillId="0" borderId="0" xfId="4" applyFont="1" applyAlignment="1">
      <alignment horizontal="center"/>
    </xf>
    <xf numFmtId="0" fontId="20" fillId="0" borderId="0" xfId="4" applyFont="1" applyAlignment="1"/>
    <xf numFmtId="0" fontId="22" fillId="0" borderId="0" xfId="4" applyFont="1" applyAlignment="1">
      <alignment horizontal="center"/>
    </xf>
    <xf numFmtId="0" fontId="24" fillId="0" borderId="0" xfId="4"/>
    <xf numFmtId="0" fontId="22" fillId="0" borderId="1" xfId="4" applyFont="1" applyBorder="1" applyAlignment="1">
      <alignment horizontal="left"/>
    </xf>
    <xf numFmtId="0" fontId="22" fillId="0" borderId="0" xfId="4" applyFont="1"/>
    <xf numFmtId="0" fontId="23" fillId="0" borderId="0" xfId="4" applyFont="1"/>
    <xf numFmtId="0" fontId="23" fillId="0" borderId="0" xfId="3" applyFont="1"/>
    <xf numFmtId="0" fontId="23" fillId="0" borderId="2" xfId="3" applyFont="1" applyBorder="1"/>
    <xf numFmtId="166" fontId="23" fillId="0" borderId="2" xfId="3" applyNumberFormat="1" applyFont="1" applyBorder="1"/>
  </cellXfs>
  <cellStyles count="5">
    <cellStyle name="Komma" xfId="1" builtinId="3"/>
    <cellStyle name="Link" xfId="2" builtinId="8"/>
    <cellStyle name="Standard" xfId="0" builtinId="0"/>
    <cellStyle name="Standard 2" xfId="3"/>
    <cellStyle name="Standard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57150</xdr:rowOff>
        </xdr:from>
        <xdr:to>
          <xdr:col>0</xdr:col>
          <xdr:colOff>1457325</xdr:colOff>
          <xdr:row>4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pache.org/licenses/LICENSE-2.0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F85"/>
  <sheetViews>
    <sheetView workbookViewId="0">
      <selection activeCell="B11" sqref="B11"/>
    </sheetView>
  </sheetViews>
  <sheetFormatPr baseColWidth="10" defaultColWidth="9.140625" defaultRowHeight="15"/>
  <cols>
    <col min="1" max="1" width="70.85546875" customWidth="1"/>
    <col min="2" max="2" width="42.140625" customWidth="1"/>
    <col min="3" max="3" width="15.28515625" customWidth="1"/>
    <col min="4" max="4" width="14" customWidth="1"/>
    <col min="5" max="5" width="11.42578125" customWidth="1"/>
    <col min="6" max="6" width="12" customWidth="1"/>
  </cols>
  <sheetData>
    <row r="1" spans="1:5" ht="15.75">
      <c r="A1" s="6"/>
    </row>
    <row r="2" spans="1:5">
      <c r="A2" s="19" t="s">
        <v>0</v>
      </c>
      <c r="B2" s="18" t="s">
        <v>15</v>
      </c>
    </row>
    <row r="3" spans="1:5">
      <c r="A3" s="19"/>
      <c r="B3" s="21" t="str">
        <f>BFunctionsVersion()</f>
        <v>2015-11-28</v>
      </c>
    </row>
    <row r="4" spans="1:5">
      <c r="A4" s="19"/>
    </row>
    <row r="5" spans="1:5">
      <c r="B5" s="23"/>
      <c r="E5" s="22"/>
    </row>
    <row r="6" spans="1:5">
      <c r="A6" s="18" t="s">
        <v>20</v>
      </c>
      <c r="B6" s="20" t="s">
        <v>108</v>
      </c>
      <c r="C6" t="str">
        <f>IF(B11="","Banana not open, file not open or WebServer not active","Banana Connection OK")</f>
        <v>Banana Connection OK</v>
      </c>
    </row>
    <row r="7" spans="1:5">
      <c r="A7" s="18" t="s">
        <v>22</v>
      </c>
      <c r="B7" s="20"/>
    </row>
    <row r="8" spans="1:5">
      <c r="A8" s="18" t="s">
        <v>23</v>
      </c>
      <c r="B8" s="20"/>
    </row>
    <row r="9" spans="1:5">
      <c r="B9" s="25"/>
    </row>
    <row r="10" spans="1:5">
      <c r="B10" s="25"/>
      <c r="C10" t="s">
        <v>25</v>
      </c>
    </row>
    <row r="11" spans="1:5">
      <c r="A11" s="18" t="s">
        <v>16</v>
      </c>
      <c r="B11" s="18" t="str">
        <f>BFileName( B6,DisableConnection)</f>
        <v>example2016.ac2</v>
      </c>
      <c r="C11" t="s">
        <v>21</v>
      </c>
    </row>
    <row r="12" spans="1:5">
      <c r="A12" s="18" t="s">
        <v>17</v>
      </c>
      <c r="B12" s="18" t="str">
        <f>BFileName( B7,DisableConnection)</f>
        <v/>
      </c>
      <c r="C12" t="s">
        <v>27</v>
      </c>
    </row>
    <row r="13" spans="1:5">
      <c r="A13" s="18" t="s">
        <v>24</v>
      </c>
      <c r="B13" s="18" t="str">
        <f>BFileName( B8,DisableConnection)</f>
        <v/>
      </c>
    </row>
    <row r="14" spans="1:5">
      <c r="A14" s="18"/>
      <c r="B14" s="18"/>
    </row>
    <row r="15" spans="1:5">
      <c r="A15" s="18" t="s">
        <v>28</v>
      </c>
      <c r="B15" s="30"/>
      <c r="C15" t="s">
        <v>29</v>
      </c>
    </row>
    <row r="16" spans="1:5">
      <c r="C16" t="s">
        <v>30</v>
      </c>
      <c r="D16" s="5"/>
    </row>
    <row r="17" spans="1:6">
      <c r="B17" s="18"/>
      <c r="C17" s="21"/>
      <c r="E17" s="12"/>
      <c r="F17" s="12"/>
    </row>
    <row r="18" spans="1:6" s="7" customFormat="1">
      <c r="A18" s="10"/>
      <c r="B18" s="11"/>
      <c r="C18" s="11"/>
      <c r="D18" s="12"/>
      <c r="E18" s="12"/>
      <c r="F18" s="12"/>
    </row>
    <row r="19" spans="1:6" s="7" customFormat="1" ht="18">
      <c r="A19" s="27" t="s">
        <v>18</v>
      </c>
      <c r="B19" s="11"/>
      <c r="C19" s="11"/>
      <c r="D19" s="12"/>
      <c r="E19" s="12"/>
      <c r="F19" s="12"/>
    </row>
    <row r="20" spans="1:6" s="7" customFormat="1" ht="15.75">
      <c r="A20" s="26" t="s">
        <v>1</v>
      </c>
      <c r="B20" s="11"/>
      <c r="C20" s="11"/>
      <c r="D20" s="12"/>
      <c r="E20" s="12"/>
      <c r="F20" s="12"/>
    </row>
    <row r="21" spans="1:6" s="7" customFormat="1">
      <c r="A21" t="s">
        <v>19</v>
      </c>
      <c r="B21" s="11"/>
      <c r="C21" s="11"/>
      <c r="D21" s="12"/>
      <c r="E21" s="12"/>
      <c r="F21" s="12"/>
    </row>
    <row r="22" spans="1:6" s="7" customFormat="1">
      <c r="A22" t="s">
        <v>12</v>
      </c>
      <c r="B22" s="11"/>
      <c r="C22" s="11"/>
      <c r="D22" s="12"/>
      <c r="E22" s="12"/>
      <c r="F22" s="12"/>
    </row>
    <row r="23" spans="1:6" s="7" customFormat="1">
      <c r="A23" t="s">
        <v>14</v>
      </c>
      <c r="B23" s="11"/>
      <c r="C23" s="11"/>
      <c r="D23" s="12"/>
      <c r="E23" s="12"/>
      <c r="F23" s="12"/>
    </row>
    <row r="24" spans="1:6" s="7" customFormat="1">
      <c r="A24" s="25"/>
      <c r="B24" s="11"/>
      <c r="C24" s="11"/>
      <c r="D24" s="12"/>
      <c r="E24" s="12"/>
      <c r="F24" s="12"/>
    </row>
    <row r="25" spans="1:6" s="7" customFormat="1">
      <c r="A25"/>
      <c r="B25" s="13"/>
      <c r="C25" s="13"/>
      <c r="D25" s="12"/>
      <c r="E25" s="12"/>
      <c r="F25" s="12"/>
    </row>
    <row r="26" spans="1:6" s="7" customFormat="1" ht="18.75">
      <c r="A26" s="28" t="s">
        <v>13</v>
      </c>
      <c r="B26" s="11"/>
      <c r="C26" s="11"/>
      <c r="D26" s="12"/>
      <c r="E26" s="12"/>
      <c r="F26" s="12"/>
    </row>
    <row r="27" spans="1:6" s="7" customFormat="1">
      <c r="A27" s="29" t="s">
        <v>26</v>
      </c>
      <c r="B27" s="11"/>
      <c r="C27" s="11"/>
      <c r="D27" s="12"/>
      <c r="E27" s="12"/>
      <c r="F27" s="12"/>
    </row>
    <row r="28" spans="1:6" s="7" customFormat="1">
      <c r="A28" s="21" t="s">
        <v>2</v>
      </c>
      <c r="B28" s="11"/>
      <c r="C28" s="11"/>
      <c r="D28" s="12"/>
      <c r="E28" s="12"/>
      <c r="F28" s="12"/>
    </row>
    <row r="29" spans="1:6">
      <c r="A29" s="21" t="s">
        <v>3</v>
      </c>
      <c r="B29" s="13"/>
      <c r="C29" s="13"/>
      <c r="D29" s="14"/>
      <c r="E29" s="14"/>
      <c r="F29" s="14"/>
    </row>
    <row r="30" spans="1:6">
      <c r="A30" s="21" t="s">
        <v>4</v>
      </c>
      <c r="B30" s="11"/>
      <c r="C30" s="11"/>
      <c r="D30" s="14"/>
      <c r="E30" s="14"/>
      <c r="F30" s="14"/>
    </row>
    <row r="31" spans="1:6">
      <c r="A31" s="21" t="s">
        <v>5</v>
      </c>
      <c r="B31" s="11"/>
      <c r="C31" s="11"/>
      <c r="D31" s="14"/>
      <c r="E31" s="14"/>
      <c r="F31" s="14"/>
    </row>
    <row r="32" spans="1:6">
      <c r="A32" s="21" t="s">
        <v>2</v>
      </c>
      <c r="B32" s="11"/>
      <c r="C32" s="11"/>
      <c r="D32" s="14"/>
      <c r="E32" s="14"/>
      <c r="F32" s="14"/>
    </row>
    <row r="33" spans="1:6">
      <c r="A33" s="24" t="s">
        <v>6</v>
      </c>
      <c r="B33" s="13"/>
      <c r="C33" s="13"/>
      <c r="D33" s="14"/>
      <c r="E33" s="14"/>
      <c r="F33" s="14"/>
    </row>
    <row r="34" spans="1:6">
      <c r="A34" s="21" t="s">
        <v>2</v>
      </c>
      <c r="B34" s="11"/>
      <c r="C34" s="11"/>
      <c r="D34" s="12"/>
      <c r="E34" s="12"/>
      <c r="F34" s="12"/>
    </row>
    <row r="35" spans="1:6">
      <c r="A35" s="21" t="s">
        <v>7</v>
      </c>
      <c r="B35" s="11"/>
      <c r="C35" s="11"/>
      <c r="D35" s="12"/>
      <c r="E35" s="12"/>
      <c r="F35" s="12"/>
    </row>
    <row r="36" spans="1:6">
      <c r="A36" s="21" t="s">
        <v>8</v>
      </c>
      <c r="B36" s="11"/>
      <c r="C36" s="11"/>
      <c r="D36" s="12"/>
      <c r="E36" s="12"/>
      <c r="F36" s="12"/>
    </row>
    <row r="37" spans="1:6">
      <c r="A37" s="21" t="s">
        <v>9</v>
      </c>
      <c r="B37" s="17"/>
      <c r="C37" s="17"/>
      <c r="D37" s="9"/>
      <c r="E37" s="9"/>
      <c r="F37" s="9"/>
    </row>
    <row r="38" spans="1:6">
      <c r="A38" s="21" t="s">
        <v>10</v>
      </c>
      <c r="B38" s="11"/>
      <c r="C38" s="11"/>
      <c r="D38" s="12"/>
      <c r="E38" s="12"/>
      <c r="F38" s="12"/>
    </row>
    <row r="39" spans="1:6">
      <c r="A39" s="21" t="s">
        <v>11</v>
      </c>
      <c r="B39" s="11"/>
      <c r="C39" s="11"/>
      <c r="D39" s="12"/>
      <c r="E39" s="12"/>
      <c r="F39" s="12"/>
    </row>
    <row r="40" spans="1:6">
      <c r="A40" s="8"/>
      <c r="B40" s="17"/>
      <c r="C40" s="17"/>
      <c r="D40" s="9"/>
      <c r="E40" s="9"/>
      <c r="F40" s="9"/>
    </row>
    <row r="41" spans="1:6">
      <c r="A41" s="10"/>
      <c r="B41" s="11"/>
      <c r="C41" s="11"/>
      <c r="D41" s="12"/>
      <c r="E41" s="12"/>
      <c r="F41" s="12"/>
    </row>
    <row r="42" spans="1:6">
      <c r="A42" s="10"/>
      <c r="B42" s="11"/>
      <c r="C42" s="11"/>
      <c r="D42" s="12"/>
      <c r="E42" s="12"/>
      <c r="F42" s="12"/>
    </row>
    <row r="43" spans="1:6">
      <c r="A43" s="10"/>
      <c r="B43" s="13"/>
      <c r="C43" s="13"/>
      <c r="D43" s="12"/>
      <c r="E43" s="12"/>
      <c r="F43" s="12"/>
    </row>
    <row r="44" spans="1:6">
      <c r="A44" s="10"/>
      <c r="B44" s="11"/>
      <c r="C44" s="11"/>
      <c r="D44" s="12"/>
      <c r="E44" s="12"/>
      <c r="F44" s="12"/>
    </row>
    <row r="45" spans="1:6">
      <c r="A45" s="10"/>
      <c r="B45" s="11"/>
      <c r="C45" s="11"/>
      <c r="D45" s="12"/>
      <c r="E45" s="12"/>
      <c r="F45" s="12"/>
    </row>
    <row r="46" spans="1:6">
      <c r="A46" s="11"/>
      <c r="B46" s="13"/>
      <c r="C46" s="13"/>
      <c r="D46" s="9"/>
      <c r="E46" s="9"/>
      <c r="F46" s="9"/>
    </row>
    <row r="47" spans="1:6">
      <c r="A47" s="11"/>
      <c r="B47" s="8"/>
      <c r="C47" s="8"/>
      <c r="D47" s="9"/>
      <c r="E47" s="9"/>
      <c r="F47" s="9"/>
    </row>
    <row r="48" spans="1:6">
      <c r="A48" s="13"/>
      <c r="B48" s="8"/>
      <c r="C48" s="8"/>
      <c r="D48" s="9"/>
      <c r="E48" s="9"/>
      <c r="F48" s="9"/>
    </row>
    <row r="49" spans="1:6">
      <c r="A49" s="8"/>
      <c r="B49" s="15"/>
      <c r="C49" s="15"/>
      <c r="D49" s="9"/>
      <c r="E49" s="9"/>
      <c r="F49" s="9"/>
    </row>
    <row r="50" spans="1:6">
      <c r="A50" s="16" t="s">
        <v>31</v>
      </c>
      <c r="B50" s="9"/>
      <c r="C50" s="9"/>
      <c r="D50" s="9"/>
      <c r="E50" s="9"/>
      <c r="F50" s="9"/>
    </row>
    <row r="51" spans="1:6">
      <c r="A51" s="1"/>
    </row>
    <row r="52" spans="1:6">
      <c r="A52" s="1"/>
      <c r="B52" s="13"/>
      <c r="C52" s="1"/>
    </row>
    <row r="53" spans="1:6">
      <c r="C53" s="1"/>
    </row>
    <row r="54" spans="1:6">
      <c r="C54" s="1"/>
    </row>
    <row r="55" spans="1:6">
      <c r="C55" s="1"/>
    </row>
    <row r="56" spans="1:6">
      <c r="C56" s="1"/>
    </row>
    <row r="57" spans="1:6">
      <c r="C57" s="1"/>
    </row>
    <row r="58" spans="1:6">
      <c r="C58" s="1"/>
    </row>
    <row r="59" spans="1:6">
      <c r="A59" s="1"/>
      <c r="B59" s="1"/>
      <c r="C59" s="1"/>
    </row>
    <row r="60" spans="1:6">
      <c r="A60" s="2"/>
      <c r="B60" s="1"/>
      <c r="C60" s="1"/>
    </row>
    <row r="61" spans="1:6">
      <c r="A61" s="1"/>
      <c r="B61" s="1"/>
      <c r="C61" s="1"/>
    </row>
    <row r="62" spans="1:6">
      <c r="A62" s="1"/>
      <c r="B62" s="1"/>
      <c r="C62" s="1"/>
    </row>
    <row r="63" spans="1:6">
      <c r="A63" s="1"/>
      <c r="B63" s="1"/>
      <c r="C63" s="1"/>
    </row>
    <row r="64" spans="1:6">
      <c r="A64" s="2"/>
      <c r="B64" s="1"/>
      <c r="C64" s="1"/>
    </row>
    <row r="65" spans="1:3">
      <c r="A65" s="3"/>
      <c r="B65" s="1"/>
      <c r="C65" s="1"/>
    </row>
    <row r="66" spans="1:3">
      <c r="A66" s="1"/>
      <c r="B66" s="1"/>
      <c r="C66" s="1"/>
    </row>
    <row r="67" spans="1:3">
      <c r="A67" s="1"/>
      <c r="B67" s="1"/>
      <c r="C67" s="1"/>
    </row>
    <row r="68" spans="1:3">
      <c r="A68" s="1"/>
      <c r="B68" s="1"/>
      <c r="C68" s="1"/>
    </row>
    <row r="69" spans="1:3">
      <c r="A69" s="3"/>
      <c r="B69" s="1"/>
      <c r="C69" s="1"/>
    </row>
    <row r="70" spans="1:3">
      <c r="A70" s="1"/>
      <c r="B70" s="1"/>
      <c r="C70" s="1"/>
    </row>
    <row r="71" spans="1:3">
      <c r="A71" s="1"/>
      <c r="B71" s="1"/>
      <c r="C71" s="1"/>
    </row>
    <row r="72" spans="1:3">
      <c r="A72" s="3"/>
      <c r="B72" s="1"/>
      <c r="C72" s="1"/>
    </row>
    <row r="73" spans="1:3">
      <c r="A73" s="4"/>
      <c r="B73" s="1"/>
      <c r="C73" s="1"/>
    </row>
    <row r="74" spans="1:3">
      <c r="A74" s="1"/>
      <c r="B74" s="1"/>
      <c r="C74" s="1"/>
    </row>
    <row r="75" spans="1:3">
      <c r="A75" s="1"/>
      <c r="B75" s="1"/>
      <c r="C75" s="1"/>
    </row>
    <row r="76" spans="1:3">
      <c r="A76" s="2"/>
      <c r="B76" s="1"/>
      <c r="C76" s="1"/>
    </row>
    <row r="77" spans="1:3">
      <c r="A77" s="1"/>
      <c r="B77" s="1"/>
      <c r="C77" s="1"/>
    </row>
    <row r="78" spans="1:3">
      <c r="A78" s="1"/>
      <c r="B78" s="1"/>
      <c r="C78" s="1"/>
    </row>
    <row r="79" spans="1:3">
      <c r="A79" s="1"/>
      <c r="B79" s="1"/>
      <c r="C79" s="1"/>
    </row>
    <row r="80" spans="1:3">
      <c r="A80" s="1"/>
      <c r="B80" s="1"/>
      <c r="C80" s="1"/>
    </row>
    <row r="81" spans="1:3">
      <c r="A81" s="4"/>
      <c r="B81" s="1"/>
      <c r="C81" s="1"/>
    </row>
    <row r="82" spans="1:3">
      <c r="A82" s="2"/>
      <c r="B82" s="1"/>
      <c r="C82" s="1"/>
    </row>
    <row r="83" spans="1:3">
      <c r="A83" s="1"/>
      <c r="B83" s="1"/>
      <c r="C83" s="1"/>
    </row>
    <row r="84" spans="1:3">
      <c r="A84" s="1"/>
      <c r="B84" s="1"/>
      <c r="C84" s="1"/>
    </row>
    <row r="85" spans="1:3">
      <c r="A85" s="1"/>
      <c r="B85" s="1"/>
      <c r="C85" s="1"/>
    </row>
  </sheetData>
  <hyperlinks>
    <hyperlink ref="A33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calculateAll">
                <anchor moveWithCells="1" sizeWithCells="1">
                  <from>
                    <xdr:col>0</xdr:col>
                    <xdr:colOff>0</xdr:colOff>
                    <xdr:row>2</xdr:row>
                    <xdr:rowOff>57150</xdr:rowOff>
                  </from>
                  <to>
                    <xdr:col>0</xdr:col>
                    <xdr:colOff>1457325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pageSetUpPr fitToPage="1"/>
  </sheetPr>
  <dimension ref="A1:BB38"/>
  <sheetViews>
    <sheetView workbookViewId="0">
      <selection activeCell="G8" sqref="G8"/>
    </sheetView>
  </sheetViews>
  <sheetFormatPr baseColWidth="10" defaultRowHeight="12.75"/>
  <cols>
    <col min="1" max="2" width="11.42578125" style="38"/>
    <col min="3" max="3" width="21" style="38" customWidth="1"/>
    <col min="4" max="4" width="9.140625" style="38" customWidth="1"/>
    <col min="5" max="5" width="17.140625" style="38" customWidth="1"/>
    <col min="6" max="6" width="18.42578125" style="38" customWidth="1"/>
    <col min="7" max="7" width="35.5703125" style="38" customWidth="1"/>
    <col min="8" max="8" width="9.140625" style="38" customWidth="1"/>
    <col min="9" max="9" width="19.140625" style="38" customWidth="1"/>
    <col min="10" max="10" width="20.42578125" style="38" customWidth="1"/>
    <col min="11" max="258" width="9.140625" style="38" customWidth="1"/>
    <col min="259" max="259" width="21" style="38" customWidth="1"/>
    <col min="260" max="260" width="9.140625" style="38" customWidth="1"/>
    <col min="261" max="261" width="19.28515625" style="38" customWidth="1"/>
    <col min="262" max="262" width="19.7109375" style="38" customWidth="1"/>
    <col min="263" max="263" width="39.28515625" style="38" customWidth="1"/>
    <col min="264" max="264" width="9.140625" style="38" customWidth="1"/>
    <col min="265" max="265" width="19.140625" style="38" customWidth="1"/>
    <col min="266" max="266" width="20.42578125" style="38" customWidth="1"/>
    <col min="267" max="514" width="9.140625" style="38" customWidth="1"/>
    <col min="515" max="515" width="21" style="38" customWidth="1"/>
    <col min="516" max="516" width="9.140625" style="38" customWidth="1"/>
    <col min="517" max="517" width="19.28515625" style="38" customWidth="1"/>
    <col min="518" max="518" width="19.7109375" style="38" customWidth="1"/>
    <col min="519" max="519" width="39.28515625" style="38" customWidth="1"/>
    <col min="520" max="520" width="9.140625" style="38" customWidth="1"/>
    <col min="521" max="521" width="19.140625" style="38" customWidth="1"/>
    <col min="522" max="522" width="20.42578125" style="38" customWidth="1"/>
    <col min="523" max="770" width="9.140625" style="38" customWidth="1"/>
    <col min="771" max="771" width="21" style="38" customWidth="1"/>
    <col min="772" max="772" width="9.140625" style="38" customWidth="1"/>
    <col min="773" max="773" width="19.28515625" style="38" customWidth="1"/>
    <col min="774" max="774" width="19.7109375" style="38" customWidth="1"/>
    <col min="775" max="775" width="39.28515625" style="38" customWidth="1"/>
    <col min="776" max="776" width="9.140625" style="38" customWidth="1"/>
    <col min="777" max="777" width="19.140625" style="38" customWidth="1"/>
    <col min="778" max="778" width="20.42578125" style="38" customWidth="1"/>
    <col min="779" max="1026" width="9.140625" style="38" customWidth="1"/>
    <col min="1027" max="1027" width="21" style="38" customWidth="1"/>
    <col min="1028" max="1028" width="9.140625" style="38" customWidth="1"/>
    <col min="1029" max="1029" width="19.28515625" style="38" customWidth="1"/>
    <col min="1030" max="1030" width="19.7109375" style="38" customWidth="1"/>
    <col min="1031" max="1031" width="39.28515625" style="38" customWidth="1"/>
    <col min="1032" max="1032" width="9.140625" style="38" customWidth="1"/>
    <col min="1033" max="1033" width="19.140625" style="38" customWidth="1"/>
    <col min="1034" max="1034" width="20.42578125" style="38" customWidth="1"/>
    <col min="1035" max="1282" width="9.140625" style="38" customWidth="1"/>
    <col min="1283" max="1283" width="21" style="38" customWidth="1"/>
    <col min="1284" max="1284" width="9.140625" style="38" customWidth="1"/>
    <col min="1285" max="1285" width="19.28515625" style="38" customWidth="1"/>
    <col min="1286" max="1286" width="19.7109375" style="38" customWidth="1"/>
    <col min="1287" max="1287" width="39.28515625" style="38" customWidth="1"/>
    <col min="1288" max="1288" width="9.140625" style="38" customWidth="1"/>
    <col min="1289" max="1289" width="19.140625" style="38" customWidth="1"/>
    <col min="1290" max="1290" width="20.42578125" style="38" customWidth="1"/>
    <col min="1291" max="1538" width="9.140625" style="38" customWidth="1"/>
    <col min="1539" max="1539" width="21" style="38" customWidth="1"/>
    <col min="1540" max="1540" width="9.140625" style="38" customWidth="1"/>
    <col min="1541" max="1541" width="19.28515625" style="38" customWidth="1"/>
    <col min="1542" max="1542" width="19.7109375" style="38" customWidth="1"/>
    <col min="1543" max="1543" width="39.28515625" style="38" customWidth="1"/>
    <col min="1544" max="1544" width="9.140625" style="38" customWidth="1"/>
    <col min="1545" max="1545" width="19.140625" style="38" customWidth="1"/>
    <col min="1546" max="1546" width="20.42578125" style="38" customWidth="1"/>
    <col min="1547" max="1794" width="9.140625" style="38" customWidth="1"/>
    <col min="1795" max="1795" width="21" style="38" customWidth="1"/>
    <col min="1796" max="1796" width="9.140625" style="38" customWidth="1"/>
    <col min="1797" max="1797" width="19.28515625" style="38" customWidth="1"/>
    <col min="1798" max="1798" width="19.7109375" style="38" customWidth="1"/>
    <col min="1799" max="1799" width="39.28515625" style="38" customWidth="1"/>
    <col min="1800" max="1800" width="9.140625" style="38" customWidth="1"/>
    <col min="1801" max="1801" width="19.140625" style="38" customWidth="1"/>
    <col min="1802" max="1802" width="20.42578125" style="38" customWidth="1"/>
    <col min="1803" max="2050" width="9.140625" style="38" customWidth="1"/>
    <col min="2051" max="2051" width="21" style="38" customWidth="1"/>
    <col min="2052" max="2052" width="9.140625" style="38" customWidth="1"/>
    <col min="2053" max="2053" width="19.28515625" style="38" customWidth="1"/>
    <col min="2054" max="2054" width="19.7109375" style="38" customWidth="1"/>
    <col min="2055" max="2055" width="39.28515625" style="38" customWidth="1"/>
    <col min="2056" max="2056" width="9.140625" style="38" customWidth="1"/>
    <col min="2057" max="2057" width="19.140625" style="38" customWidth="1"/>
    <col min="2058" max="2058" width="20.42578125" style="38" customWidth="1"/>
    <col min="2059" max="2306" width="9.140625" style="38" customWidth="1"/>
    <col min="2307" max="2307" width="21" style="38" customWidth="1"/>
    <col min="2308" max="2308" width="9.140625" style="38" customWidth="1"/>
    <col min="2309" max="2309" width="19.28515625" style="38" customWidth="1"/>
    <col min="2310" max="2310" width="19.7109375" style="38" customWidth="1"/>
    <col min="2311" max="2311" width="39.28515625" style="38" customWidth="1"/>
    <col min="2312" max="2312" width="9.140625" style="38" customWidth="1"/>
    <col min="2313" max="2313" width="19.140625" style="38" customWidth="1"/>
    <col min="2314" max="2314" width="20.42578125" style="38" customWidth="1"/>
    <col min="2315" max="2562" width="9.140625" style="38" customWidth="1"/>
    <col min="2563" max="2563" width="21" style="38" customWidth="1"/>
    <col min="2564" max="2564" width="9.140625" style="38" customWidth="1"/>
    <col min="2565" max="2565" width="19.28515625" style="38" customWidth="1"/>
    <col min="2566" max="2566" width="19.7109375" style="38" customWidth="1"/>
    <col min="2567" max="2567" width="39.28515625" style="38" customWidth="1"/>
    <col min="2568" max="2568" width="9.140625" style="38" customWidth="1"/>
    <col min="2569" max="2569" width="19.140625" style="38" customWidth="1"/>
    <col min="2570" max="2570" width="20.42578125" style="38" customWidth="1"/>
    <col min="2571" max="2818" width="9.140625" style="38" customWidth="1"/>
    <col min="2819" max="2819" width="21" style="38" customWidth="1"/>
    <col min="2820" max="2820" width="9.140625" style="38" customWidth="1"/>
    <col min="2821" max="2821" width="19.28515625" style="38" customWidth="1"/>
    <col min="2822" max="2822" width="19.7109375" style="38" customWidth="1"/>
    <col min="2823" max="2823" width="39.28515625" style="38" customWidth="1"/>
    <col min="2824" max="2824" width="9.140625" style="38" customWidth="1"/>
    <col min="2825" max="2825" width="19.140625" style="38" customWidth="1"/>
    <col min="2826" max="2826" width="20.42578125" style="38" customWidth="1"/>
    <col min="2827" max="3074" width="9.140625" style="38" customWidth="1"/>
    <col min="3075" max="3075" width="21" style="38" customWidth="1"/>
    <col min="3076" max="3076" width="9.140625" style="38" customWidth="1"/>
    <col min="3077" max="3077" width="19.28515625" style="38" customWidth="1"/>
    <col min="3078" max="3078" width="19.7109375" style="38" customWidth="1"/>
    <col min="3079" max="3079" width="39.28515625" style="38" customWidth="1"/>
    <col min="3080" max="3080" width="9.140625" style="38" customWidth="1"/>
    <col min="3081" max="3081" width="19.140625" style="38" customWidth="1"/>
    <col min="3082" max="3082" width="20.42578125" style="38" customWidth="1"/>
    <col min="3083" max="3330" width="9.140625" style="38" customWidth="1"/>
    <col min="3331" max="3331" width="21" style="38" customWidth="1"/>
    <col min="3332" max="3332" width="9.140625" style="38" customWidth="1"/>
    <col min="3333" max="3333" width="19.28515625" style="38" customWidth="1"/>
    <col min="3334" max="3334" width="19.7109375" style="38" customWidth="1"/>
    <col min="3335" max="3335" width="39.28515625" style="38" customWidth="1"/>
    <col min="3336" max="3336" width="9.140625" style="38" customWidth="1"/>
    <col min="3337" max="3337" width="19.140625" style="38" customWidth="1"/>
    <col min="3338" max="3338" width="20.42578125" style="38" customWidth="1"/>
    <col min="3339" max="3586" width="9.140625" style="38" customWidth="1"/>
    <col min="3587" max="3587" width="21" style="38" customWidth="1"/>
    <col min="3588" max="3588" width="9.140625" style="38" customWidth="1"/>
    <col min="3589" max="3589" width="19.28515625" style="38" customWidth="1"/>
    <col min="3590" max="3590" width="19.7109375" style="38" customWidth="1"/>
    <col min="3591" max="3591" width="39.28515625" style="38" customWidth="1"/>
    <col min="3592" max="3592" width="9.140625" style="38" customWidth="1"/>
    <col min="3593" max="3593" width="19.140625" style="38" customWidth="1"/>
    <col min="3594" max="3594" width="20.42578125" style="38" customWidth="1"/>
    <col min="3595" max="3842" width="9.140625" style="38" customWidth="1"/>
    <col min="3843" max="3843" width="21" style="38" customWidth="1"/>
    <col min="3844" max="3844" width="9.140625" style="38" customWidth="1"/>
    <col min="3845" max="3845" width="19.28515625" style="38" customWidth="1"/>
    <col min="3846" max="3846" width="19.7109375" style="38" customWidth="1"/>
    <col min="3847" max="3847" width="39.28515625" style="38" customWidth="1"/>
    <col min="3848" max="3848" width="9.140625" style="38" customWidth="1"/>
    <col min="3849" max="3849" width="19.140625" style="38" customWidth="1"/>
    <col min="3850" max="3850" width="20.42578125" style="38" customWidth="1"/>
    <col min="3851" max="4098" width="9.140625" style="38" customWidth="1"/>
    <col min="4099" max="4099" width="21" style="38" customWidth="1"/>
    <col min="4100" max="4100" width="9.140625" style="38" customWidth="1"/>
    <col min="4101" max="4101" width="19.28515625" style="38" customWidth="1"/>
    <col min="4102" max="4102" width="19.7109375" style="38" customWidth="1"/>
    <col min="4103" max="4103" width="39.28515625" style="38" customWidth="1"/>
    <col min="4104" max="4104" width="9.140625" style="38" customWidth="1"/>
    <col min="4105" max="4105" width="19.140625" style="38" customWidth="1"/>
    <col min="4106" max="4106" width="20.42578125" style="38" customWidth="1"/>
    <col min="4107" max="4354" width="9.140625" style="38" customWidth="1"/>
    <col min="4355" max="4355" width="21" style="38" customWidth="1"/>
    <col min="4356" max="4356" width="9.140625" style="38" customWidth="1"/>
    <col min="4357" max="4357" width="19.28515625" style="38" customWidth="1"/>
    <col min="4358" max="4358" width="19.7109375" style="38" customWidth="1"/>
    <col min="4359" max="4359" width="39.28515625" style="38" customWidth="1"/>
    <col min="4360" max="4360" width="9.140625" style="38" customWidth="1"/>
    <col min="4361" max="4361" width="19.140625" style="38" customWidth="1"/>
    <col min="4362" max="4362" width="20.42578125" style="38" customWidth="1"/>
    <col min="4363" max="4610" width="9.140625" style="38" customWidth="1"/>
    <col min="4611" max="4611" width="21" style="38" customWidth="1"/>
    <col min="4612" max="4612" width="9.140625" style="38" customWidth="1"/>
    <col min="4613" max="4613" width="19.28515625" style="38" customWidth="1"/>
    <col min="4614" max="4614" width="19.7109375" style="38" customWidth="1"/>
    <col min="4615" max="4615" width="39.28515625" style="38" customWidth="1"/>
    <col min="4616" max="4616" width="9.140625" style="38" customWidth="1"/>
    <col min="4617" max="4617" width="19.140625" style="38" customWidth="1"/>
    <col min="4618" max="4618" width="20.42578125" style="38" customWidth="1"/>
    <col min="4619" max="4866" width="9.140625" style="38" customWidth="1"/>
    <col min="4867" max="4867" width="21" style="38" customWidth="1"/>
    <col min="4868" max="4868" width="9.140625" style="38" customWidth="1"/>
    <col min="4869" max="4869" width="19.28515625" style="38" customWidth="1"/>
    <col min="4870" max="4870" width="19.7109375" style="38" customWidth="1"/>
    <col min="4871" max="4871" width="39.28515625" style="38" customWidth="1"/>
    <col min="4872" max="4872" width="9.140625" style="38" customWidth="1"/>
    <col min="4873" max="4873" width="19.140625" style="38" customWidth="1"/>
    <col min="4874" max="4874" width="20.42578125" style="38" customWidth="1"/>
    <col min="4875" max="5122" width="9.140625" style="38" customWidth="1"/>
    <col min="5123" max="5123" width="21" style="38" customWidth="1"/>
    <col min="5124" max="5124" width="9.140625" style="38" customWidth="1"/>
    <col min="5125" max="5125" width="19.28515625" style="38" customWidth="1"/>
    <col min="5126" max="5126" width="19.7109375" style="38" customWidth="1"/>
    <col min="5127" max="5127" width="39.28515625" style="38" customWidth="1"/>
    <col min="5128" max="5128" width="9.140625" style="38" customWidth="1"/>
    <col min="5129" max="5129" width="19.140625" style="38" customWidth="1"/>
    <col min="5130" max="5130" width="20.42578125" style="38" customWidth="1"/>
    <col min="5131" max="5378" width="9.140625" style="38" customWidth="1"/>
    <col min="5379" max="5379" width="21" style="38" customWidth="1"/>
    <col min="5380" max="5380" width="9.140625" style="38" customWidth="1"/>
    <col min="5381" max="5381" width="19.28515625" style="38" customWidth="1"/>
    <col min="5382" max="5382" width="19.7109375" style="38" customWidth="1"/>
    <col min="5383" max="5383" width="39.28515625" style="38" customWidth="1"/>
    <col min="5384" max="5384" width="9.140625" style="38" customWidth="1"/>
    <col min="5385" max="5385" width="19.140625" style="38" customWidth="1"/>
    <col min="5386" max="5386" width="20.42578125" style="38" customWidth="1"/>
    <col min="5387" max="5634" width="9.140625" style="38" customWidth="1"/>
    <col min="5635" max="5635" width="21" style="38" customWidth="1"/>
    <col min="5636" max="5636" width="9.140625" style="38" customWidth="1"/>
    <col min="5637" max="5637" width="19.28515625" style="38" customWidth="1"/>
    <col min="5638" max="5638" width="19.7109375" style="38" customWidth="1"/>
    <col min="5639" max="5639" width="39.28515625" style="38" customWidth="1"/>
    <col min="5640" max="5640" width="9.140625" style="38" customWidth="1"/>
    <col min="5641" max="5641" width="19.140625" style="38" customWidth="1"/>
    <col min="5642" max="5642" width="20.42578125" style="38" customWidth="1"/>
    <col min="5643" max="5890" width="9.140625" style="38" customWidth="1"/>
    <col min="5891" max="5891" width="21" style="38" customWidth="1"/>
    <col min="5892" max="5892" width="9.140625" style="38" customWidth="1"/>
    <col min="5893" max="5893" width="19.28515625" style="38" customWidth="1"/>
    <col min="5894" max="5894" width="19.7109375" style="38" customWidth="1"/>
    <col min="5895" max="5895" width="39.28515625" style="38" customWidth="1"/>
    <col min="5896" max="5896" width="9.140625" style="38" customWidth="1"/>
    <col min="5897" max="5897" width="19.140625" style="38" customWidth="1"/>
    <col min="5898" max="5898" width="20.42578125" style="38" customWidth="1"/>
    <col min="5899" max="6146" width="9.140625" style="38" customWidth="1"/>
    <col min="6147" max="6147" width="21" style="38" customWidth="1"/>
    <col min="6148" max="6148" width="9.140625" style="38" customWidth="1"/>
    <col min="6149" max="6149" width="19.28515625" style="38" customWidth="1"/>
    <col min="6150" max="6150" width="19.7109375" style="38" customWidth="1"/>
    <col min="6151" max="6151" width="39.28515625" style="38" customWidth="1"/>
    <col min="6152" max="6152" width="9.140625" style="38" customWidth="1"/>
    <col min="6153" max="6153" width="19.140625" style="38" customWidth="1"/>
    <col min="6154" max="6154" width="20.42578125" style="38" customWidth="1"/>
    <col min="6155" max="6402" width="9.140625" style="38" customWidth="1"/>
    <col min="6403" max="6403" width="21" style="38" customWidth="1"/>
    <col min="6404" max="6404" width="9.140625" style="38" customWidth="1"/>
    <col min="6405" max="6405" width="19.28515625" style="38" customWidth="1"/>
    <col min="6406" max="6406" width="19.7109375" style="38" customWidth="1"/>
    <col min="6407" max="6407" width="39.28515625" style="38" customWidth="1"/>
    <col min="6408" max="6408" width="9.140625" style="38" customWidth="1"/>
    <col min="6409" max="6409" width="19.140625" style="38" customWidth="1"/>
    <col min="6410" max="6410" width="20.42578125" style="38" customWidth="1"/>
    <col min="6411" max="6658" width="9.140625" style="38" customWidth="1"/>
    <col min="6659" max="6659" width="21" style="38" customWidth="1"/>
    <col min="6660" max="6660" width="9.140625" style="38" customWidth="1"/>
    <col min="6661" max="6661" width="19.28515625" style="38" customWidth="1"/>
    <col min="6662" max="6662" width="19.7109375" style="38" customWidth="1"/>
    <col min="6663" max="6663" width="39.28515625" style="38" customWidth="1"/>
    <col min="6664" max="6664" width="9.140625" style="38" customWidth="1"/>
    <col min="6665" max="6665" width="19.140625" style="38" customWidth="1"/>
    <col min="6666" max="6666" width="20.42578125" style="38" customWidth="1"/>
    <col min="6667" max="6914" width="9.140625" style="38" customWidth="1"/>
    <col min="6915" max="6915" width="21" style="38" customWidth="1"/>
    <col min="6916" max="6916" width="9.140625" style="38" customWidth="1"/>
    <col min="6917" max="6917" width="19.28515625" style="38" customWidth="1"/>
    <col min="6918" max="6918" width="19.7109375" style="38" customWidth="1"/>
    <col min="6919" max="6919" width="39.28515625" style="38" customWidth="1"/>
    <col min="6920" max="6920" width="9.140625" style="38" customWidth="1"/>
    <col min="6921" max="6921" width="19.140625" style="38" customWidth="1"/>
    <col min="6922" max="6922" width="20.42578125" style="38" customWidth="1"/>
    <col min="6923" max="7170" width="9.140625" style="38" customWidth="1"/>
    <col min="7171" max="7171" width="21" style="38" customWidth="1"/>
    <col min="7172" max="7172" width="9.140625" style="38" customWidth="1"/>
    <col min="7173" max="7173" width="19.28515625" style="38" customWidth="1"/>
    <col min="7174" max="7174" width="19.7109375" style="38" customWidth="1"/>
    <col min="7175" max="7175" width="39.28515625" style="38" customWidth="1"/>
    <col min="7176" max="7176" width="9.140625" style="38" customWidth="1"/>
    <col min="7177" max="7177" width="19.140625" style="38" customWidth="1"/>
    <col min="7178" max="7178" width="20.42578125" style="38" customWidth="1"/>
    <col min="7179" max="7426" width="9.140625" style="38" customWidth="1"/>
    <col min="7427" max="7427" width="21" style="38" customWidth="1"/>
    <col min="7428" max="7428" width="9.140625" style="38" customWidth="1"/>
    <col min="7429" max="7429" width="19.28515625" style="38" customWidth="1"/>
    <col min="7430" max="7430" width="19.7109375" style="38" customWidth="1"/>
    <col min="7431" max="7431" width="39.28515625" style="38" customWidth="1"/>
    <col min="7432" max="7432" width="9.140625" style="38" customWidth="1"/>
    <col min="7433" max="7433" width="19.140625" style="38" customWidth="1"/>
    <col min="7434" max="7434" width="20.42578125" style="38" customWidth="1"/>
    <col min="7435" max="7682" width="9.140625" style="38" customWidth="1"/>
    <col min="7683" max="7683" width="21" style="38" customWidth="1"/>
    <col min="7684" max="7684" width="9.140625" style="38" customWidth="1"/>
    <col min="7685" max="7685" width="19.28515625" style="38" customWidth="1"/>
    <col min="7686" max="7686" width="19.7109375" style="38" customWidth="1"/>
    <col min="7687" max="7687" width="39.28515625" style="38" customWidth="1"/>
    <col min="7688" max="7688" width="9.140625" style="38" customWidth="1"/>
    <col min="7689" max="7689" width="19.140625" style="38" customWidth="1"/>
    <col min="7690" max="7690" width="20.42578125" style="38" customWidth="1"/>
    <col min="7691" max="7938" width="9.140625" style="38" customWidth="1"/>
    <col min="7939" max="7939" width="21" style="38" customWidth="1"/>
    <col min="7940" max="7940" width="9.140625" style="38" customWidth="1"/>
    <col min="7941" max="7941" width="19.28515625" style="38" customWidth="1"/>
    <col min="7942" max="7942" width="19.7109375" style="38" customWidth="1"/>
    <col min="7943" max="7943" width="39.28515625" style="38" customWidth="1"/>
    <col min="7944" max="7944" width="9.140625" style="38" customWidth="1"/>
    <col min="7945" max="7945" width="19.140625" style="38" customWidth="1"/>
    <col min="7946" max="7946" width="20.42578125" style="38" customWidth="1"/>
    <col min="7947" max="8194" width="9.140625" style="38" customWidth="1"/>
    <col min="8195" max="8195" width="21" style="38" customWidth="1"/>
    <col min="8196" max="8196" width="9.140625" style="38" customWidth="1"/>
    <col min="8197" max="8197" width="19.28515625" style="38" customWidth="1"/>
    <col min="8198" max="8198" width="19.7109375" style="38" customWidth="1"/>
    <col min="8199" max="8199" width="39.28515625" style="38" customWidth="1"/>
    <col min="8200" max="8200" width="9.140625" style="38" customWidth="1"/>
    <col min="8201" max="8201" width="19.140625" style="38" customWidth="1"/>
    <col min="8202" max="8202" width="20.42578125" style="38" customWidth="1"/>
    <col min="8203" max="8450" width="9.140625" style="38" customWidth="1"/>
    <col min="8451" max="8451" width="21" style="38" customWidth="1"/>
    <col min="8452" max="8452" width="9.140625" style="38" customWidth="1"/>
    <col min="8453" max="8453" width="19.28515625" style="38" customWidth="1"/>
    <col min="8454" max="8454" width="19.7109375" style="38" customWidth="1"/>
    <col min="8455" max="8455" width="39.28515625" style="38" customWidth="1"/>
    <col min="8456" max="8456" width="9.140625" style="38" customWidth="1"/>
    <col min="8457" max="8457" width="19.140625" style="38" customWidth="1"/>
    <col min="8458" max="8458" width="20.42578125" style="38" customWidth="1"/>
    <col min="8459" max="8706" width="9.140625" style="38" customWidth="1"/>
    <col min="8707" max="8707" width="21" style="38" customWidth="1"/>
    <col min="8708" max="8708" width="9.140625" style="38" customWidth="1"/>
    <col min="8709" max="8709" width="19.28515625" style="38" customWidth="1"/>
    <col min="8710" max="8710" width="19.7109375" style="38" customWidth="1"/>
    <col min="8711" max="8711" width="39.28515625" style="38" customWidth="1"/>
    <col min="8712" max="8712" width="9.140625" style="38" customWidth="1"/>
    <col min="8713" max="8713" width="19.140625" style="38" customWidth="1"/>
    <col min="8714" max="8714" width="20.42578125" style="38" customWidth="1"/>
    <col min="8715" max="8962" width="9.140625" style="38" customWidth="1"/>
    <col min="8963" max="8963" width="21" style="38" customWidth="1"/>
    <col min="8964" max="8964" width="9.140625" style="38" customWidth="1"/>
    <col min="8965" max="8965" width="19.28515625" style="38" customWidth="1"/>
    <col min="8966" max="8966" width="19.7109375" style="38" customWidth="1"/>
    <col min="8967" max="8967" width="39.28515625" style="38" customWidth="1"/>
    <col min="8968" max="8968" width="9.140625" style="38" customWidth="1"/>
    <col min="8969" max="8969" width="19.140625" style="38" customWidth="1"/>
    <col min="8970" max="8970" width="20.42578125" style="38" customWidth="1"/>
    <col min="8971" max="9218" width="9.140625" style="38" customWidth="1"/>
    <col min="9219" max="9219" width="21" style="38" customWidth="1"/>
    <col min="9220" max="9220" width="9.140625" style="38" customWidth="1"/>
    <col min="9221" max="9221" width="19.28515625" style="38" customWidth="1"/>
    <col min="9222" max="9222" width="19.7109375" style="38" customWidth="1"/>
    <col min="9223" max="9223" width="39.28515625" style="38" customWidth="1"/>
    <col min="9224" max="9224" width="9.140625" style="38" customWidth="1"/>
    <col min="9225" max="9225" width="19.140625" style="38" customWidth="1"/>
    <col min="9226" max="9226" width="20.42578125" style="38" customWidth="1"/>
    <col min="9227" max="9474" width="9.140625" style="38" customWidth="1"/>
    <col min="9475" max="9475" width="21" style="38" customWidth="1"/>
    <col min="9476" max="9476" width="9.140625" style="38" customWidth="1"/>
    <col min="9477" max="9477" width="19.28515625" style="38" customWidth="1"/>
    <col min="9478" max="9478" width="19.7109375" style="38" customWidth="1"/>
    <col min="9479" max="9479" width="39.28515625" style="38" customWidth="1"/>
    <col min="9480" max="9480" width="9.140625" style="38" customWidth="1"/>
    <col min="9481" max="9481" width="19.140625" style="38" customWidth="1"/>
    <col min="9482" max="9482" width="20.42578125" style="38" customWidth="1"/>
    <col min="9483" max="9730" width="9.140625" style="38" customWidth="1"/>
    <col min="9731" max="9731" width="21" style="38" customWidth="1"/>
    <col min="9732" max="9732" width="9.140625" style="38" customWidth="1"/>
    <col min="9733" max="9733" width="19.28515625" style="38" customWidth="1"/>
    <col min="9734" max="9734" width="19.7109375" style="38" customWidth="1"/>
    <col min="9735" max="9735" width="39.28515625" style="38" customWidth="1"/>
    <col min="9736" max="9736" width="9.140625" style="38" customWidth="1"/>
    <col min="9737" max="9737" width="19.140625" style="38" customWidth="1"/>
    <col min="9738" max="9738" width="20.42578125" style="38" customWidth="1"/>
    <col min="9739" max="9986" width="9.140625" style="38" customWidth="1"/>
    <col min="9987" max="9987" width="21" style="38" customWidth="1"/>
    <col min="9988" max="9988" width="9.140625" style="38" customWidth="1"/>
    <col min="9989" max="9989" width="19.28515625" style="38" customWidth="1"/>
    <col min="9990" max="9990" width="19.7109375" style="38" customWidth="1"/>
    <col min="9991" max="9991" width="39.28515625" style="38" customWidth="1"/>
    <col min="9992" max="9992" width="9.140625" style="38" customWidth="1"/>
    <col min="9993" max="9993" width="19.140625" style="38" customWidth="1"/>
    <col min="9994" max="9994" width="20.42578125" style="38" customWidth="1"/>
    <col min="9995" max="10242" width="9.140625" style="38" customWidth="1"/>
    <col min="10243" max="10243" width="21" style="38" customWidth="1"/>
    <col min="10244" max="10244" width="9.140625" style="38" customWidth="1"/>
    <col min="10245" max="10245" width="19.28515625" style="38" customWidth="1"/>
    <col min="10246" max="10246" width="19.7109375" style="38" customWidth="1"/>
    <col min="10247" max="10247" width="39.28515625" style="38" customWidth="1"/>
    <col min="10248" max="10248" width="9.140625" style="38" customWidth="1"/>
    <col min="10249" max="10249" width="19.140625" style="38" customWidth="1"/>
    <col min="10250" max="10250" width="20.42578125" style="38" customWidth="1"/>
    <col min="10251" max="10498" width="9.140625" style="38" customWidth="1"/>
    <col min="10499" max="10499" width="21" style="38" customWidth="1"/>
    <col min="10500" max="10500" width="9.140625" style="38" customWidth="1"/>
    <col min="10501" max="10501" width="19.28515625" style="38" customWidth="1"/>
    <col min="10502" max="10502" width="19.7109375" style="38" customWidth="1"/>
    <col min="10503" max="10503" width="39.28515625" style="38" customWidth="1"/>
    <col min="10504" max="10504" width="9.140625" style="38" customWidth="1"/>
    <col min="10505" max="10505" width="19.140625" style="38" customWidth="1"/>
    <col min="10506" max="10506" width="20.42578125" style="38" customWidth="1"/>
    <col min="10507" max="10754" width="9.140625" style="38" customWidth="1"/>
    <col min="10755" max="10755" width="21" style="38" customWidth="1"/>
    <col min="10756" max="10756" width="9.140625" style="38" customWidth="1"/>
    <col min="10757" max="10757" width="19.28515625" style="38" customWidth="1"/>
    <col min="10758" max="10758" width="19.7109375" style="38" customWidth="1"/>
    <col min="10759" max="10759" width="39.28515625" style="38" customWidth="1"/>
    <col min="10760" max="10760" width="9.140625" style="38" customWidth="1"/>
    <col min="10761" max="10761" width="19.140625" style="38" customWidth="1"/>
    <col min="10762" max="10762" width="20.42578125" style="38" customWidth="1"/>
    <col min="10763" max="11010" width="9.140625" style="38" customWidth="1"/>
    <col min="11011" max="11011" width="21" style="38" customWidth="1"/>
    <col min="11012" max="11012" width="9.140625" style="38" customWidth="1"/>
    <col min="11013" max="11013" width="19.28515625" style="38" customWidth="1"/>
    <col min="11014" max="11014" width="19.7109375" style="38" customWidth="1"/>
    <col min="11015" max="11015" width="39.28515625" style="38" customWidth="1"/>
    <col min="11016" max="11016" width="9.140625" style="38" customWidth="1"/>
    <col min="11017" max="11017" width="19.140625" style="38" customWidth="1"/>
    <col min="11018" max="11018" width="20.42578125" style="38" customWidth="1"/>
    <col min="11019" max="11266" width="9.140625" style="38" customWidth="1"/>
    <col min="11267" max="11267" width="21" style="38" customWidth="1"/>
    <col min="11268" max="11268" width="9.140625" style="38" customWidth="1"/>
    <col min="11269" max="11269" width="19.28515625" style="38" customWidth="1"/>
    <col min="11270" max="11270" width="19.7109375" style="38" customWidth="1"/>
    <col min="11271" max="11271" width="39.28515625" style="38" customWidth="1"/>
    <col min="11272" max="11272" width="9.140625" style="38" customWidth="1"/>
    <col min="11273" max="11273" width="19.140625" style="38" customWidth="1"/>
    <col min="11274" max="11274" width="20.42578125" style="38" customWidth="1"/>
    <col min="11275" max="11522" width="9.140625" style="38" customWidth="1"/>
    <col min="11523" max="11523" width="21" style="38" customWidth="1"/>
    <col min="11524" max="11524" width="9.140625" style="38" customWidth="1"/>
    <col min="11525" max="11525" width="19.28515625" style="38" customWidth="1"/>
    <col min="11526" max="11526" width="19.7109375" style="38" customWidth="1"/>
    <col min="11527" max="11527" width="39.28515625" style="38" customWidth="1"/>
    <col min="11528" max="11528" width="9.140625" style="38" customWidth="1"/>
    <col min="11529" max="11529" width="19.140625" style="38" customWidth="1"/>
    <col min="11530" max="11530" width="20.42578125" style="38" customWidth="1"/>
    <col min="11531" max="11778" width="9.140625" style="38" customWidth="1"/>
    <col min="11779" max="11779" width="21" style="38" customWidth="1"/>
    <col min="11780" max="11780" width="9.140625" style="38" customWidth="1"/>
    <col min="11781" max="11781" width="19.28515625" style="38" customWidth="1"/>
    <col min="11782" max="11782" width="19.7109375" style="38" customWidth="1"/>
    <col min="11783" max="11783" width="39.28515625" style="38" customWidth="1"/>
    <col min="11784" max="11784" width="9.140625" style="38" customWidth="1"/>
    <col min="11785" max="11785" width="19.140625" style="38" customWidth="1"/>
    <col min="11786" max="11786" width="20.42578125" style="38" customWidth="1"/>
    <col min="11787" max="12034" width="9.140625" style="38" customWidth="1"/>
    <col min="12035" max="12035" width="21" style="38" customWidth="1"/>
    <col min="12036" max="12036" width="9.140625" style="38" customWidth="1"/>
    <col min="12037" max="12037" width="19.28515625" style="38" customWidth="1"/>
    <col min="12038" max="12038" width="19.7109375" style="38" customWidth="1"/>
    <col min="12039" max="12039" width="39.28515625" style="38" customWidth="1"/>
    <col min="12040" max="12040" width="9.140625" style="38" customWidth="1"/>
    <col min="12041" max="12041" width="19.140625" style="38" customWidth="1"/>
    <col min="12042" max="12042" width="20.42578125" style="38" customWidth="1"/>
    <col min="12043" max="12290" width="9.140625" style="38" customWidth="1"/>
    <col min="12291" max="12291" width="21" style="38" customWidth="1"/>
    <col min="12292" max="12292" width="9.140625" style="38" customWidth="1"/>
    <col min="12293" max="12293" width="19.28515625" style="38" customWidth="1"/>
    <col min="12294" max="12294" width="19.7109375" style="38" customWidth="1"/>
    <col min="12295" max="12295" width="39.28515625" style="38" customWidth="1"/>
    <col min="12296" max="12296" width="9.140625" style="38" customWidth="1"/>
    <col min="12297" max="12297" width="19.140625" style="38" customWidth="1"/>
    <col min="12298" max="12298" width="20.42578125" style="38" customWidth="1"/>
    <col min="12299" max="12546" width="9.140625" style="38" customWidth="1"/>
    <col min="12547" max="12547" width="21" style="38" customWidth="1"/>
    <col min="12548" max="12548" width="9.140625" style="38" customWidth="1"/>
    <col min="12549" max="12549" width="19.28515625" style="38" customWidth="1"/>
    <col min="12550" max="12550" width="19.7109375" style="38" customWidth="1"/>
    <col min="12551" max="12551" width="39.28515625" style="38" customWidth="1"/>
    <col min="12552" max="12552" width="9.140625" style="38" customWidth="1"/>
    <col min="12553" max="12553" width="19.140625" style="38" customWidth="1"/>
    <col min="12554" max="12554" width="20.42578125" style="38" customWidth="1"/>
    <col min="12555" max="12802" width="9.140625" style="38" customWidth="1"/>
    <col min="12803" max="12803" width="21" style="38" customWidth="1"/>
    <col min="12804" max="12804" width="9.140625" style="38" customWidth="1"/>
    <col min="12805" max="12805" width="19.28515625" style="38" customWidth="1"/>
    <col min="12806" max="12806" width="19.7109375" style="38" customWidth="1"/>
    <col min="12807" max="12807" width="39.28515625" style="38" customWidth="1"/>
    <col min="12808" max="12808" width="9.140625" style="38" customWidth="1"/>
    <col min="12809" max="12809" width="19.140625" style="38" customWidth="1"/>
    <col min="12810" max="12810" width="20.42578125" style="38" customWidth="1"/>
    <col min="12811" max="13058" width="9.140625" style="38" customWidth="1"/>
    <col min="13059" max="13059" width="21" style="38" customWidth="1"/>
    <col min="13060" max="13060" width="9.140625" style="38" customWidth="1"/>
    <col min="13061" max="13061" width="19.28515625" style="38" customWidth="1"/>
    <col min="13062" max="13062" width="19.7109375" style="38" customWidth="1"/>
    <col min="13063" max="13063" width="39.28515625" style="38" customWidth="1"/>
    <col min="13064" max="13064" width="9.140625" style="38" customWidth="1"/>
    <col min="13065" max="13065" width="19.140625" style="38" customWidth="1"/>
    <col min="13066" max="13066" width="20.42578125" style="38" customWidth="1"/>
    <col min="13067" max="13314" width="9.140625" style="38" customWidth="1"/>
    <col min="13315" max="13315" width="21" style="38" customWidth="1"/>
    <col min="13316" max="13316" width="9.140625" style="38" customWidth="1"/>
    <col min="13317" max="13317" width="19.28515625" style="38" customWidth="1"/>
    <col min="13318" max="13318" width="19.7109375" style="38" customWidth="1"/>
    <col min="13319" max="13319" width="39.28515625" style="38" customWidth="1"/>
    <col min="13320" max="13320" width="9.140625" style="38" customWidth="1"/>
    <col min="13321" max="13321" width="19.140625" style="38" customWidth="1"/>
    <col min="13322" max="13322" width="20.42578125" style="38" customWidth="1"/>
    <col min="13323" max="13570" width="9.140625" style="38" customWidth="1"/>
    <col min="13571" max="13571" width="21" style="38" customWidth="1"/>
    <col min="13572" max="13572" width="9.140625" style="38" customWidth="1"/>
    <col min="13573" max="13573" width="19.28515625" style="38" customWidth="1"/>
    <col min="13574" max="13574" width="19.7109375" style="38" customWidth="1"/>
    <col min="13575" max="13575" width="39.28515625" style="38" customWidth="1"/>
    <col min="13576" max="13576" width="9.140625" style="38" customWidth="1"/>
    <col min="13577" max="13577" width="19.140625" style="38" customWidth="1"/>
    <col min="13578" max="13578" width="20.42578125" style="38" customWidth="1"/>
    <col min="13579" max="13826" width="9.140625" style="38" customWidth="1"/>
    <col min="13827" max="13827" width="21" style="38" customWidth="1"/>
    <col min="13828" max="13828" width="9.140625" style="38" customWidth="1"/>
    <col min="13829" max="13829" width="19.28515625" style="38" customWidth="1"/>
    <col min="13830" max="13830" width="19.7109375" style="38" customWidth="1"/>
    <col min="13831" max="13831" width="39.28515625" style="38" customWidth="1"/>
    <col min="13832" max="13832" width="9.140625" style="38" customWidth="1"/>
    <col min="13833" max="13833" width="19.140625" style="38" customWidth="1"/>
    <col min="13834" max="13834" width="20.42578125" style="38" customWidth="1"/>
    <col min="13835" max="14082" width="9.140625" style="38" customWidth="1"/>
    <col min="14083" max="14083" width="21" style="38" customWidth="1"/>
    <col min="14084" max="14084" width="9.140625" style="38" customWidth="1"/>
    <col min="14085" max="14085" width="19.28515625" style="38" customWidth="1"/>
    <col min="14086" max="14086" width="19.7109375" style="38" customWidth="1"/>
    <col min="14087" max="14087" width="39.28515625" style="38" customWidth="1"/>
    <col min="14088" max="14088" width="9.140625" style="38" customWidth="1"/>
    <col min="14089" max="14089" width="19.140625" style="38" customWidth="1"/>
    <col min="14090" max="14090" width="20.42578125" style="38" customWidth="1"/>
    <col min="14091" max="14338" width="9.140625" style="38" customWidth="1"/>
    <col min="14339" max="14339" width="21" style="38" customWidth="1"/>
    <col min="14340" max="14340" width="9.140625" style="38" customWidth="1"/>
    <col min="14341" max="14341" width="19.28515625" style="38" customWidth="1"/>
    <col min="14342" max="14342" width="19.7109375" style="38" customWidth="1"/>
    <col min="14343" max="14343" width="39.28515625" style="38" customWidth="1"/>
    <col min="14344" max="14344" width="9.140625" style="38" customWidth="1"/>
    <col min="14345" max="14345" width="19.140625" style="38" customWidth="1"/>
    <col min="14346" max="14346" width="20.42578125" style="38" customWidth="1"/>
    <col min="14347" max="14594" width="9.140625" style="38" customWidth="1"/>
    <col min="14595" max="14595" width="21" style="38" customWidth="1"/>
    <col min="14596" max="14596" width="9.140625" style="38" customWidth="1"/>
    <col min="14597" max="14597" width="19.28515625" style="38" customWidth="1"/>
    <col min="14598" max="14598" width="19.7109375" style="38" customWidth="1"/>
    <col min="14599" max="14599" width="39.28515625" style="38" customWidth="1"/>
    <col min="14600" max="14600" width="9.140625" style="38" customWidth="1"/>
    <col min="14601" max="14601" width="19.140625" style="38" customWidth="1"/>
    <col min="14602" max="14602" width="20.42578125" style="38" customWidth="1"/>
    <col min="14603" max="14850" width="9.140625" style="38" customWidth="1"/>
    <col min="14851" max="14851" width="21" style="38" customWidth="1"/>
    <col min="14852" max="14852" width="9.140625" style="38" customWidth="1"/>
    <col min="14853" max="14853" width="19.28515625" style="38" customWidth="1"/>
    <col min="14854" max="14854" width="19.7109375" style="38" customWidth="1"/>
    <col min="14855" max="14855" width="39.28515625" style="38" customWidth="1"/>
    <col min="14856" max="14856" width="9.140625" style="38" customWidth="1"/>
    <col min="14857" max="14857" width="19.140625" style="38" customWidth="1"/>
    <col min="14858" max="14858" width="20.42578125" style="38" customWidth="1"/>
    <col min="14859" max="15106" width="9.140625" style="38" customWidth="1"/>
    <col min="15107" max="15107" width="21" style="38" customWidth="1"/>
    <col min="15108" max="15108" width="9.140625" style="38" customWidth="1"/>
    <col min="15109" max="15109" width="19.28515625" style="38" customWidth="1"/>
    <col min="15110" max="15110" width="19.7109375" style="38" customWidth="1"/>
    <col min="15111" max="15111" width="39.28515625" style="38" customWidth="1"/>
    <col min="15112" max="15112" width="9.140625" style="38" customWidth="1"/>
    <col min="15113" max="15113" width="19.140625" style="38" customWidth="1"/>
    <col min="15114" max="15114" width="20.42578125" style="38" customWidth="1"/>
    <col min="15115" max="15362" width="9.140625" style="38" customWidth="1"/>
    <col min="15363" max="15363" width="21" style="38" customWidth="1"/>
    <col min="15364" max="15364" width="9.140625" style="38" customWidth="1"/>
    <col min="15365" max="15365" width="19.28515625" style="38" customWidth="1"/>
    <col min="15366" max="15366" width="19.7109375" style="38" customWidth="1"/>
    <col min="15367" max="15367" width="39.28515625" style="38" customWidth="1"/>
    <col min="15368" max="15368" width="9.140625" style="38" customWidth="1"/>
    <col min="15369" max="15369" width="19.140625" style="38" customWidth="1"/>
    <col min="15370" max="15370" width="20.42578125" style="38" customWidth="1"/>
    <col min="15371" max="15618" width="9.140625" style="38" customWidth="1"/>
    <col min="15619" max="15619" width="21" style="38" customWidth="1"/>
    <col min="15620" max="15620" width="9.140625" style="38" customWidth="1"/>
    <col min="15621" max="15621" width="19.28515625" style="38" customWidth="1"/>
    <col min="15622" max="15622" width="19.7109375" style="38" customWidth="1"/>
    <col min="15623" max="15623" width="39.28515625" style="38" customWidth="1"/>
    <col min="15624" max="15624" width="9.140625" style="38" customWidth="1"/>
    <col min="15625" max="15625" width="19.140625" style="38" customWidth="1"/>
    <col min="15626" max="15626" width="20.42578125" style="38" customWidth="1"/>
    <col min="15627" max="15874" width="9.140625" style="38" customWidth="1"/>
    <col min="15875" max="15875" width="21" style="38" customWidth="1"/>
    <col min="15876" max="15876" width="9.140625" style="38" customWidth="1"/>
    <col min="15877" max="15877" width="19.28515625" style="38" customWidth="1"/>
    <col min="15878" max="15878" width="19.7109375" style="38" customWidth="1"/>
    <col min="15879" max="15879" width="39.28515625" style="38" customWidth="1"/>
    <col min="15880" max="15880" width="9.140625" style="38" customWidth="1"/>
    <col min="15881" max="15881" width="19.140625" style="38" customWidth="1"/>
    <col min="15882" max="15882" width="20.42578125" style="38" customWidth="1"/>
    <col min="15883" max="16130" width="9.140625" style="38" customWidth="1"/>
    <col min="16131" max="16131" width="21" style="38" customWidth="1"/>
    <col min="16132" max="16132" width="9.140625" style="38" customWidth="1"/>
    <col min="16133" max="16133" width="19.28515625" style="38" customWidth="1"/>
    <col min="16134" max="16134" width="19.7109375" style="38" customWidth="1"/>
    <col min="16135" max="16135" width="39.28515625" style="38" customWidth="1"/>
    <col min="16136" max="16136" width="9.140625" style="38" customWidth="1"/>
    <col min="16137" max="16137" width="19.140625" style="38" customWidth="1"/>
    <col min="16138" max="16138" width="20.42578125" style="38" customWidth="1"/>
    <col min="16139" max="16384" width="9.140625" style="38" customWidth="1"/>
  </cols>
  <sheetData>
    <row r="1" spans="1:10" s="32" customFormat="1" ht="17.25" customHeight="1">
      <c r="C1" s="31" t="s">
        <v>109</v>
      </c>
    </row>
    <row r="2" spans="1:10" s="32" customFormat="1" ht="15.75" hidden="1" customHeight="1">
      <c r="C2" s="32" t="s">
        <v>110</v>
      </c>
    </row>
    <row r="3" spans="1:10" s="32" customFormat="1" ht="15.75" customHeight="1">
      <c r="C3" s="34" t="s">
        <v>34</v>
      </c>
      <c r="D3" s="34"/>
      <c r="E3" s="34"/>
      <c r="F3" s="34"/>
      <c r="G3" s="34"/>
      <c r="H3" s="34"/>
      <c r="I3" s="34"/>
      <c r="J3" s="34"/>
    </row>
    <row r="4" spans="1:10" s="32" customFormat="1" ht="15.75" customHeight="1">
      <c r="C4" s="36" t="s">
        <v>35</v>
      </c>
      <c r="D4" s="36"/>
      <c r="E4" s="36"/>
      <c r="F4" s="36"/>
      <c r="G4" s="36" t="s">
        <v>111</v>
      </c>
      <c r="H4" s="36"/>
      <c r="I4" s="36"/>
      <c r="J4" s="36"/>
    </row>
    <row r="5" spans="1:10" s="32" customFormat="1" ht="15.75" customHeight="1">
      <c r="C5" s="46" t="s">
        <v>37</v>
      </c>
      <c r="D5" s="46"/>
      <c r="E5" s="46"/>
      <c r="F5" s="46"/>
      <c r="G5" s="46" t="s">
        <v>112</v>
      </c>
      <c r="H5" s="46"/>
      <c r="I5" s="46" t="s">
        <v>113</v>
      </c>
      <c r="J5" s="46"/>
    </row>
    <row r="6" spans="1:10" s="47" customFormat="1" ht="18" customHeight="1">
      <c r="A6" s="47" t="s">
        <v>236</v>
      </c>
      <c r="B6" s="47" t="s">
        <v>240</v>
      </c>
      <c r="C6" s="41" t="s">
        <v>114</v>
      </c>
      <c r="D6" s="41" t="s">
        <v>41</v>
      </c>
      <c r="E6" s="41" t="s">
        <v>115</v>
      </c>
      <c r="F6" s="41" t="s">
        <v>116</v>
      </c>
      <c r="G6" s="41" t="s">
        <v>117</v>
      </c>
      <c r="H6" s="41" t="s">
        <v>41</v>
      </c>
      <c r="I6" s="41" t="s">
        <v>115</v>
      </c>
      <c r="J6" s="41" t="s">
        <v>116</v>
      </c>
    </row>
    <row r="7" spans="1:10" s="45" customFormat="1" ht="18" customHeight="1">
      <c r="A7" s="45" t="s">
        <v>237</v>
      </c>
      <c r="B7" s="60" t="s">
        <v>237</v>
      </c>
      <c r="C7" s="48" t="s">
        <v>118</v>
      </c>
      <c r="D7" s="49"/>
      <c r="E7" s="49"/>
      <c r="F7" s="49"/>
      <c r="G7" s="48" t="s">
        <v>119</v>
      </c>
      <c r="H7" s="49"/>
      <c r="I7" s="49"/>
      <c r="J7" s="49"/>
    </row>
    <row r="8" spans="1:10" s="45" customFormat="1" ht="18" customHeight="1">
      <c r="A8" s="45">
        <v>1113</v>
      </c>
      <c r="B8" s="45">
        <v>211</v>
      </c>
      <c r="C8" s="42" t="s">
        <v>120</v>
      </c>
      <c r="D8" s="42" t="s">
        <v>44</v>
      </c>
      <c r="E8" s="43">
        <f ca="1">BAmount(File0,"Gr="&amp;$A8)</f>
        <v>8001</v>
      </c>
      <c r="F8" s="43">
        <f ca="1">BOpening(File0,"Gr="&amp;$A8)</f>
        <v>1</v>
      </c>
      <c r="G8" s="42" t="s">
        <v>121</v>
      </c>
      <c r="H8" s="42" t="s">
        <v>104</v>
      </c>
      <c r="I8" s="43">
        <f ca="1">BAmount(File0,"Gr="&amp;$B8)</f>
        <v>1001</v>
      </c>
      <c r="J8" s="43">
        <f ca="1">BOpening(File0,"Gr="&amp;$B8)*-1</f>
        <v>1</v>
      </c>
    </row>
    <row r="9" spans="1:10" s="45" customFormat="1" ht="18" customHeight="1">
      <c r="C9" s="42" t="s">
        <v>122</v>
      </c>
      <c r="D9" s="42" t="s">
        <v>46</v>
      </c>
      <c r="E9" s="43">
        <f ca="1">BAmount(File0,"Gr="&amp;$A9)</f>
        <v>0</v>
      </c>
      <c r="F9" s="43">
        <f ca="1">BOpening(File0,"Gr="&amp;$A9)</f>
        <v>0</v>
      </c>
      <c r="G9" s="42" t="s">
        <v>123</v>
      </c>
      <c r="H9" s="42" t="s">
        <v>106</v>
      </c>
      <c r="I9" s="43">
        <f ca="1">BAmount(File0,"Gr="&amp;$B9)</f>
        <v>0</v>
      </c>
      <c r="J9" s="43">
        <f ca="1">BOpening(File0,"Gr="&amp;$B9)*-1</f>
        <v>0</v>
      </c>
    </row>
    <row r="10" spans="1:10" s="45" customFormat="1" ht="18" customHeight="1">
      <c r="C10" s="42" t="s">
        <v>124</v>
      </c>
      <c r="D10" s="42" t="s">
        <v>48</v>
      </c>
      <c r="E10" s="43">
        <f ca="1">BAmount(File0,"Gr="&amp;$A10)</f>
        <v>0</v>
      </c>
      <c r="F10" s="43">
        <f ca="1">BOpening(File0,"Gr="&amp;$A10)</f>
        <v>0</v>
      </c>
      <c r="G10" s="42" t="s">
        <v>125</v>
      </c>
      <c r="H10" s="42" t="s">
        <v>126</v>
      </c>
      <c r="I10" s="43">
        <f ca="1">BAmount(File0,"Gr="&amp;$B10)</f>
        <v>0</v>
      </c>
      <c r="J10" s="43">
        <f ca="1">BOpening(File0,"Gr="&amp;$B10)*-1</f>
        <v>0</v>
      </c>
    </row>
    <row r="11" spans="1:10" s="45" customFormat="1" ht="18" customHeight="1">
      <c r="C11" s="42" t="s">
        <v>127</v>
      </c>
      <c r="D11" s="42" t="s">
        <v>50</v>
      </c>
      <c r="E11" s="43">
        <f ca="1">BAmount(File0,"Gr="&amp;$A11)</f>
        <v>0</v>
      </c>
      <c r="F11" s="43">
        <f ca="1">BOpening(File0,"Gr="&amp;$A11)</f>
        <v>0</v>
      </c>
      <c r="G11" s="42" t="s">
        <v>128</v>
      </c>
      <c r="H11" s="42" t="s">
        <v>129</v>
      </c>
      <c r="I11" s="43">
        <f ca="1">BAmount(File0,"Gr="&amp;$B11)</f>
        <v>0</v>
      </c>
      <c r="J11" s="43">
        <f ca="1">BOpening(File0,"Gr="&amp;$B11)*-1</f>
        <v>0</v>
      </c>
    </row>
    <row r="12" spans="1:10" s="45" customFormat="1" ht="18" customHeight="1">
      <c r="C12" s="42" t="s">
        <v>130</v>
      </c>
      <c r="D12" s="42" t="s">
        <v>52</v>
      </c>
      <c r="E12" s="43">
        <f ca="1">BAmount(File0,"Gr="&amp;$A12)</f>
        <v>0</v>
      </c>
      <c r="F12" s="43">
        <f ca="1">BOpening(File0,"Gr="&amp;$A12)</f>
        <v>0</v>
      </c>
      <c r="G12" s="42" t="s">
        <v>131</v>
      </c>
      <c r="H12" s="42" t="s">
        <v>132</v>
      </c>
      <c r="I12" s="43">
        <f ca="1">BAmount(File0,"Gr="&amp;$B12)</f>
        <v>0</v>
      </c>
      <c r="J12" s="43">
        <f ca="1">BOpening(File0,"Gr="&amp;$B12)*-1</f>
        <v>0</v>
      </c>
    </row>
    <row r="13" spans="1:10" s="45" customFormat="1" ht="18" customHeight="1">
      <c r="C13" s="42" t="s">
        <v>133</v>
      </c>
      <c r="D13" s="42" t="s">
        <v>54</v>
      </c>
      <c r="E13" s="43">
        <f ca="1">BAmount(File0,"Gr="&amp;$A13)</f>
        <v>0</v>
      </c>
      <c r="F13" s="43">
        <f ca="1">BOpening(File0,"Gr="&amp;$A13)</f>
        <v>0</v>
      </c>
      <c r="G13" s="42" t="s">
        <v>134</v>
      </c>
      <c r="H13" s="42" t="s">
        <v>135</v>
      </c>
      <c r="I13" s="43">
        <f ca="1">BAmount(File0,"Gr="&amp;$B13)</f>
        <v>0</v>
      </c>
      <c r="J13" s="43">
        <f ca="1">BOpening(File0,"Gr="&amp;$B13)*-1</f>
        <v>0</v>
      </c>
    </row>
    <row r="14" spans="1:10" s="45" customFormat="1" ht="18" customHeight="1">
      <c r="C14" s="42" t="s">
        <v>136</v>
      </c>
      <c r="D14" s="42" t="s">
        <v>56</v>
      </c>
      <c r="E14" s="43">
        <f ca="1">BAmount(File0,"Gr="&amp;$A14)</f>
        <v>0</v>
      </c>
      <c r="F14" s="43">
        <f ca="1">BOpening(File0,"Gr="&amp;$A14)</f>
        <v>0</v>
      </c>
      <c r="G14" s="42" t="s">
        <v>137</v>
      </c>
      <c r="H14" s="42" t="s">
        <v>138</v>
      </c>
      <c r="I14" s="43">
        <f ca="1">BAmount(File0,"Gr="&amp;$B14)</f>
        <v>0</v>
      </c>
      <c r="J14" s="43">
        <f ca="1">BOpening(File0,"Gr="&amp;$B14)*-1</f>
        <v>0</v>
      </c>
    </row>
    <row r="15" spans="1:10" s="45" customFormat="1" ht="18" customHeight="1">
      <c r="C15" s="42" t="s">
        <v>139</v>
      </c>
      <c r="D15" s="42" t="s">
        <v>58</v>
      </c>
      <c r="E15" s="43">
        <f ca="1">BAmount(File0,"Gr="&amp;$A15)</f>
        <v>0</v>
      </c>
      <c r="F15" s="43">
        <f ca="1">BOpening(File0,"Gr="&amp;$A15)</f>
        <v>0</v>
      </c>
      <c r="G15" s="42" t="s">
        <v>140</v>
      </c>
      <c r="H15" s="42" t="s">
        <v>141</v>
      </c>
      <c r="I15" s="43">
        <f ca="1">BAmount(File0,"Gr="&amp;$B15)</f>
        <v>0</v>
      </c>
      <c r="J15" s="43">
        <f ca="1">BOpening(File0,"Gr="&amp;$B15)*-1</f>
        <v>0</v>
      </c>
    </row>
    <row r="16" spans="1:10" s="45" customFormat="1" ht="18" customHeight="1">
      <c r="C16" s="42" t="s">
        <v>142</v>
      </c>
      <c r="D16" s="42" t="s">
        <v>60</v>
      </c>
      <c r="E16" s="43">
        <f ca="1">BAmount(File0,"Gr="&amp;$A16)</f>
        <v>0</v>
      </c>
      <c r="F16" s="43">
        <f ca="1">BOpening(File0,"Gr="&amp;$A16)</f>
        <v>0</v>
      </c>
      <c r="G16" s="42" t="s">
        <v>143</v>
      </c>
      <c r="H16" s="42" t="s">
        <v>144</v>
      </c>
      <c r="I16" s="43">
        <f ca="1">BAmount(File0,"Gr="&amp;$B16)</f>
        <v>0</v>
      </c>
      <c r="J16" s="43">
        <f ca="1">BOpening(File0,"Gr="&amp;$B16)*-1</f>
        <v>0</v>
      </c>
    </row>
    <row r="17" spans="3:54" s="45" customFormat="1" ht="18" customHeight="1">
      <c r="C17" s="42" t="s">
        <v>145</v>
      </c>
      <c r="D17" s="42" t="s">
        <v>62</v>
      </c>
      <c r="E17" s="43">
        <f ca="1">BAmount(File0,"Gr="&amp;$A17)</f>
        <v>0</v>
      </c>
      <c r="F17" s="43">
        <f ca="1">BOpening(File0,"Gr="&amp;$A17)</f>
        <v>0</v>
      </c>
      <c r="G17" s="42" t="s">
        <v>146</v>
      </c>
      <c r="H17" s="42" t="s">
        <v>147</v>
      </c>
      <c r="I17" s="43">
        <f ca="1">BAmount(File0,"Gr="&amp;$B17)</f>
        <v>0</v>
      </c>
      <c r="J17" s="43">
        <f ca="1">BOpening(File0,"Gr="&amp;$B17)*-1</f>
        <v>0</v>
      </c>
    </row>
    <row r="18" spans="3:54" s="45" customFormat="1" ht="18" customHeight="1">
      <c r="C18" s="42" t="s">
        <v>148</v>
      </c>
      <c r="D18" s="42" t="s">
        <v>64</v>
      </c>
      <c r="E18" s="43">
        <f ca="1">BAmount(File0,"Gr="&amp;$A18)</f>
        <v>0</v>
      </c>
      <c r="F18" s="43">
        <f ca="1">BOpening(File0,"Gr="&amp;$A18)</f>
        <v>0</v>
      </c>
      <c r="G18" s="42" t="s">
        <v>149</v>
      </c>
      <c r="H18" s="42" t="s">
        <v>150</v>
      </c>
      <c r="I18" s="44">
        <f ca="1">SUM(I8:I17)</f>
        <v>1001</v>
      </c>
      <c r="J18" s="44">
        <f ca="1">SUM(J8:J17)</f>
        <v>1</v>
      </c>
    </row>
    <row r="19" spans="3:54" s="45" customFormat="1" ht="18" customHeight="1">
      <c r="C19" s="42" t="s">
        <v>151</v>
      </c>
      <c r="D19" s="42" t="s">
        <v>66</v>
      </c>
      <c r="E19" s="43">
        <f ca="1">BAmount(File0,"Gr="&amp;$A19)</f>
        <v>0</v>
      </c>
      <c r="F19" s="43">
        <f ca="1">BOpening(File0,"Gr="&amp;$A19)</f>
        <v>0</v>
      </c>
      <c r="G19" s="48" t="s">
        <v>152</v>
      </c>
      <c r="H19" s="49"/>
      <c r="I19" s="49"/>
      <c r="J19" s="49"/>
    </row>
    <row r="20" spans="3:54" s="45" customFormat="1" ht="18" customHeight="1">
      <c r="C20" s="42" t="s">
        <v>153</v>
      </c>
      <c r="D20" s="42" t="s">
        <v>68</v>
      </c>
      <c r="E20" s="43">
        <f ca="1">BAmount(File0,"Gr="&amp;$A20)</f>
        <v>0</v>
      </c>
      <c r="F20" s="43">
        <f ca="1">BOpening(File0,"Gr="&amp;$A20)</f>
        <v>0</v>
      </c>
      <c r="G20" s="42" t="s">
        <v>154</v>
      </c>
      <c r="H20" s="42" t="s">
        <v>155</v>
      </c>
      <c r="I20" s="43">
        <f ca="1">BAmount(File0,"Gr="&amp;$B20)</f>
        <v>0</v>
      </c>
      <c r="J20" s="43">
        <f ca="1">BOpening(File0,"Gr="&amp;$B20)*-1</f>
        <v>0</v>
      </c>
    </row>
    <row r="21" spans="3:54" s="45" customFormat="1" ht="18" customHeight="1">
      <c r="C21" s="42" t="s">
        <v>156</v>
      </c>
      <c r="D21" s="42" t="s">
        <v>70</v>
      </c>
      <c r="E21" s="43">
        <f ca="1">BAmount(File0,"Gr="&amp;$A21)</f>
        <v>0</v>
      </c>
      <c r="F21" s="43">
        <f ca="1">BOpening(File0,"Gr="&amp;$A21)</f>
        <v>0</v>
      </c>
      <c r="G21" s="42" t="s">
        <v>157</v>
      </c>
      <c r="H21" s="42" t="s">
        <v>158</v>
      </c>
      <c r="I21" s="43">
        <f ca="1">BAmount(File0,"Gr="&amp;$B21)</f>
        <v>0</v>
      </c>
      <c r="J21" s="43">
        <f ca="1">BOpening(File0,"Gr="&amp;$B21)*-1</f>
        <v>0</v>
      </c>
    </row>
    <row r="22" spans="3:54" s="45" customFormat="1" ht="18" customHeight="1">
      <c r="C22" s="42" t="s">
        <v>159</v>
      </c>
      <c r="D22" s="42" t="s">
        <v>72</v>
      </c>
      <c r="E22" s="44">
        <f ca="1">SUM(E8:E16,E21)</f>
        <v>8001</v>
      </c>
      <c r="F22" s="44">
        <f ca="1">SUM(F8:F16,F21)</f>
        <v>1</v>
      </c>
      <c r="G22" s="42" t="s">
        <v>160</v>
      </c>
      <c r="H22" s="42" t="s">
        <v>161</v>
      </c>
      <c r="I22" s="43">
        <f ca="1">BAmount(File0,"Gr="&amp;$B22)</f>
        <v>0</v>
      </c>
      <c r="J22" s="43">
        <f ca="1">BOpening(File0,"Gr="&amp;$B22)*-1</f>
        <v>0</v>
      </c>
    </row>
    <row r="23" spans="3:54" s="45" customFormat="1" ht="18" customHeight="1">
      <c r="C23" s="48" t="s">
        <v>162</v>
      </c>
      <c r="D23" s="49"/>
      <c r="E23" s="49"/>
      <c r="F23" s="49"/>
      <c r="G23" s="42" t="s">
        <v>163</v>
      </c>
      <c r="H23" s="42" t="s">
        <v>164</v>
      </c>
      <c r="I23" s="43">
        <f ca="1">BAmount(File0,"Gr="&amp;$B23)</f>
        <v>0</v>
      </c>
      <c r="J23" s="43">
        <f ca="1">BOpening(File0,"Gr="&amp;$B23)*-1</f>
        <v>0</v>
      </c>
    </row>
    <row r="24" spans="3:54" s="45" customFormat="1" ht="18" customHeight="1">
      <c r="C24" s="42" t="s">
        <v>165</v>
      </c>
      <c r="D24" s="42" t="s">
        <v>74</v>
      </c>
      <c r="E24" s="43">
        <f ca="1">BAmount(File0,"Gr="&amp;$A24)</f>
        <v>0</v>
      </c>
      <c r="F24" s="43">
        <f ca="1">BOpening(File0,"Gr="&amp;$A24)</f>
        <v>0</v>
      </c>
      <c r="G24" s="42" t="s">
        <v>166</v>
      </c>
      <c r="H24" s="42" t="s">
        <v>167</v>
      </c>
      <c r="I24" s="44">
        <f ca="1">SUM(I20:I23)</f>
        <v>0</v>
      </c>
      <c r="J24" s="44">
        <f ca="1">SUM(J20:J23)</f>
        <v>0</v>
      </c>
    </row>
    <row r="25" spans="3:54" s="45" customFormat="1" ht="18" customHeight="1">
      <c r="C25" s="42" t="s">
        <v>168</v>
      </c>
      <c r="D25" s="42" t="s">
        <v>76</v>
      </c>
      <c r="E25" s="43">
        <f ca="1">BAmount(File0,"Gr="&amp;$A25)</f>
        <v>0</v>
      </c>
      <c r="F25" s="43">
        <f ca="1">BOpening(File0,"Gr="&amp;$A25)</f>
        <v>0</v>
      </c>
      <c r="G25" s="42" t="s">
        <v>169</v>
      </c>
      <c r="H25" s="42" t="s">
        <v>170</v>
      </c>
      <c r="I25" s="44">
        <f ca="1">SUM(I18,I24)</f>
        <v>1001</v>
      </c>
      <c r="J25" s="44">
        <f ca="1">SUM(J18,J24)</f>
        <v>1</v>
      </c>
    </row>
    <row r="26" spans="3:54" s="45" customFormat="1" ht="18" customHeight="1">
      <c r="C26" s="42" t="s">
        <v>171</v>
      </c>
      <c r="D26" s="42" t="s">
        <v>78</v>
      </c>
      <c r="E26" s="43">
        <f ca="1">BAmount(File0,"Gr="&amp;$A26)</f>
        <v>0</v>
      </c>
      <c r="F26" s="43">
        <f ca="1">BOpening(File0,"Gr="&amp;$A26)</f>
        <v>0</v>
      </c>
      <c r="G26" s="42"/>
      <c r="H26" s="42"/>
      <c r="I26" s="43"/>
      <c r="J26" s="43"/>
      <c r="T26" s="45" t="s">
        <v>172</v>
      </c>
      <c r="U26" s="45" t="s">
        <v>172</v>
      </c>
      <c r="V26" s="45" t="s">
        <v>172</v>
      </c>
      <c r="W26" s="45" t="s">
        <v>172</v>
      </c>
      <c r="X26" s="45" t="s">
        <v>172</v>
      </c>
      <c r="Y26" s="45" t="s">
        <v>172</v>
      </c>
      <c r="Z26" s="45" t="s">
        <v>172</v>
      </c>
      <c r="AA26" s="45" t="s">
        <v>172</v>
      </c>
      <c r="AB26" s="45" t="s">
        <v>172</v>
      </c>
      <c r="AC26" s="45" t="s">
        <v>172</v>
      </c>
      <c r="AD26" s="45" t="s">
        <v>173</v>
      </c>
      <c r="AE26" s="45" t="s">
        <v>174</v>
      </c>
      <c r="AF26" s="45" t="s">
        <v>172</v>
      </c>
      <c r="AG26" s="45" t="s">
        <v>172</v>
      </c>
      <c r="AH26" s="45" t="s">
        <v>172</v>
      </c>
      <c r="AI26" s="45" t="s">
        <v>172</v>
      </c>
      <c r="AJ26" s="45" t="s">
        <v>172</v>
      </c>
      <c r="AK26" s="45" t="s">
        <v>172</v>
      </c>
      <c r="AL26" s="45" t="s">
        <v>172</v>
      </c>
      <c r="AM26" s="45" t="s">
        <v>172</v>
      </c>
      <c r="AN26" s="45" t="s">
        <v>172</v>
      </c>
      <c r="AO26" s="45" t="s">
        <v>172</v>
      </c>
      <c r="AP26" s="45" t="s">
        <v>173</v>
      </c>
      <c r="AQ26" s="45" t="s">
        <v>174</v>
      </c>
      <c r="AR26" s="45" t="s">
        <v>172</v>
      </c>
      <c r="AS26" s="45" t="s">
        <v>172</v>
      </c>
      <c r="AT26" s="45" t="s">
        <v>172</v>
      </c>
      <c r="AU26" s="45" t="s">
        <v>172</v>
      </c>
      <c r="AV26" s="45" t="s">
        <v>172</v>
      </c>
      <c r="AW26" s="45" t="s">
        <v>172</v>
      </c>
      <c r="AX26" s="45" t="s">
        <v>172</v>
      </c>
      <c r="AY26" s="45" t="s">
        <v>172</v>
      </c>
      <c r="AZ26" s="45" t="s">
        <v>172</v>
      </c>
      <c r="BA26" s="45" t="s">
        <v>172</v>
      </c>
      <c r="BB26" s="45" t="s">
        <v>173</v>
      </c>
    </row>
    <row r="27" spans="3:54" s="45" customFormat="1" ht="18" customHeight="1">
      <c r="C27" s="42" t="s">
        <v>175</v>
      </c>
      <c r="D27" s="42" t="s">
        <v>80</v>
      </c>
      <c r="E27" s="43">
        <f ca="1">BAmount(File0,"Gr="&amp;$A27)</f>
        <v>0</v>
      </c>
      <c r="F27" s="43">
        <f ca="1">BOpening(File0,"Gr="&amp;$A27)</f>
        <v>0</v>
      </c>
      <c r="G27" s="42"/>
      <c r="H27" s="42"/>
      <c r="I27" s="43"/>
      <c r="J27" s="43"/>
      <c r="T27" s="45" t="s">
        <v>172</v>
      </c>
      <c r="U27" s="45" t="s">
        <v>172</v>
      </c>
      <c r="V27" s="45" t="s">
        <v>172</v>
      </c>
      <c r="W27" s="45" t="s">
        <v>172</v>
      </c>
      <c r="X27" s="45" t="s">
        <v>172</v>
      </c>
      <c r="Y27" s="45" t="s">
        <v>172</v>
      </c>
      <c r="Z27" s="45" t="s">
        <v>172</v>
      </c>
      <c r="AA27" s="45" t="s">
        <v>172</v>
      </c>
      <c r="AB27" s="45" t="s">
        <v>172</v>
      </c>
      <c r="AC27" s="45" t="s">
        <v>172</v>
      </c>
      <c r="AD27" s="45" t="s">
        <v>173</v>
      </c>
      <c r="AE27" s="45" t="s">
        <v>174</v>
      </c>
      <c r="AF27" s="45" t="s">
        <v>172</v>
      </c>
      <c r="AG27" s="45" t="s">
        <v>172</v>
      </c>
      <c r="AH27" s="45" t="s">
        <v>172</v>
      </c>
      <c r="AI27" s="45" t="s">
        <v>172</v>
      </c>
      <c r="AJ27" s="45" t="s">
        <v>172</v>
      </c>
      <c r="AK27" s="45" t="s">
        <v>172</v>
      </c>
      <c r="AL27" s="45" t="s">
        <v>172</v>
      </c>
      <c r="AM27" s="45" t="s">
        <v>172</v>
      </c>
      <c r="AN27" s="45" t="s">
        <v>172</v>
      </c>
      <c r="AO27" s="45" t="s">
        <v>172</v>
      </c>
      <c r="AP27" s="45" t="s">
        <v>173</v>
      </c>
      <c r="AQ27" s="45" t="s">
        <v>174</v>
      </c>
      <c r="AR27" s="45" t="s">
        <v>172</v>
      </c>
      <c r="AS27" s="45" t="s">
        <v>172</v>
      </c>
      <c r="AT27" s="45" t="s">
        <v>172</v>
      </c>
      <c r="AU27" s="45" t="s">
        <v>172</v>
      </c>
      <c r="AV27" s="45" t="s">
        <v>172</v>
      </c>
      <c r="AW27" s="45" t="s">
        <v>172</v>
      </c>
      <c r="AX27" s="45" t="s">
        <v>172</v>
      </c>
      <c r="AY27" s="45" t="s">
        <v>172</v>
      </c>
      <c r="AZ27" s="45" t="s">
        <v>172</v>
      </c>
      <c r="BA27" s="45" t="s">
        <v>172</v>
      </c>
      <c r="BB27" s="45" t="s">
        <v>173</v>
      </c>
    </row>
    <row r="28" spans="3:54" s="45" customFormat="1" ht="18" customHeight="1">
      <c r="C28" s="42" t="s">
        <v>176</v>
      </c>
      <c r="D28" s="42" t="s">
        <v>82</v>
      </c>
      <c r="E28" s="44">
        <f ca="1">sheet0_f_h19l2-sheet0_f_h20l2</f>
        <v>0</v>
      </c>
      <c r="F28" s="44">
        <f ca="1">sheet0_f_h19l3-sheet0_f_h20l3</f>
        <v>0</v>
      </c>
      <c r="G28" s="42"/>
      <c r="H28" s="42"/>
      <c r="I28" s="43"/>
      <c r="J28" s="43"/>
      <c r="T28" s="45" t="s">
        <v>172</v>
      </c>
      <c r="U28" s="45" t="s">
        <v>172</v>
      </c>
      <c r="V28" s="45" t="s">
        <v>172</v>
      </c>
      <c r="W28" s="45" t="s">
        <v>172</v>
      </c>
      <c r="X28" s="45" t="s">
        <v>172</v>
      </c>
      <c r="Y28" s="45" t="s">
        <v>172</v>
      </c>
      <c r="Z28" s="45" t="s">
        <v>172</v>
      </c>
      <c r="AA28" s="45" t="s">
        <v>172</v>
      </c>
      <c r="AB28" s="45" t="s">
        <v>172</v>
      </c>
      <c r="AC28" s="45" t="s">
        <v>172</v>
      </c>
      <c r="AD28" s="45" t="s">
        <v>173</v>
      </c>
      <c r="AE28" s="45" t="s">
        <v>174</v>
      </c>
      <c r="AF28" s="45" t="s">
        <v>172</v>
      </c>
      <c r="AG28" s="45" t="s">
        <v>172</v>
      </c>
      <c r="AH28" s="45" t="s">
        <v>172</v>
      </c>
      <c r="AI28" s="45" t="s">
        <v>172</v>
      </c>
      <c r="AJ28" s="45" t="s">
        <v>172</v>
      </c>
      <c r="AK28" s="45" t="s">
        <v>172</v>
      </c>
      <c r="AL28" s="45" t="s">
        <v>172</v>
      </c>
      <c r="AM28" s="45" t="s">
        <v>172</v>
      </c>
      <c r="AN28" s="45" t="s">
        <v>172</v>
      </c>
      <c r="AO28" s="45" t="s">
        <v>172</v>
      </c>
      <c r="AP28" s="45" t="s">
        <v>173</v>
      </c>
      <c r="AQ28" s="45" t="s">
        <v>174</v>
      </c>
      <c r="AR28" s="45" t="s">
        <v>172</v>
      </c>
      <c r="AS28" s="45" t="s">
        <v>172</v>
      </c>
      <c r="AT28" s="45" t="s">
        <v>172</v>
      </c>
      <c r="AU28" s="45" t="s">
        <v>172</v>
      </c>
      <c r="AV28" s="45" t="s">
        <v>172</v>
      </c>
      <c r="AW28" s="45" t="s">
        <v>172</v>
      </c>
      <c r="AX28" s="45" t="s">
        <v>172</v>
      </c>
      <c r="AY28" s="45" t="s">
        <v>172</v>
      </c>
      <c r="AZ28" s="45" t="s">
        <v>172</v>
      </c>
      <c r="BA28" s="45" t="s">
        <v>172</v>
      </c>
      <c r="BB28" s="45" t="s">
        <v>173</v>
      </c>
    </row>
    <row r="29" spans="3:54" s="45" customFormat="1" ht="18" customHeight="1">
      <c r="C29" s="42" t="s">
        <v>177</v>
      </c>
      <c r="D29" s="42" t="s">
        <v>84</v>
      </c>
      <c r="E29" s="43">
        <f ca="1">BAmount(File0,"Gr="&amp;$A29)</f>
        <v>0</v>
      </c>
      <c r="F29" s="43">
        <f ca="1">BOpening(File0,"Gr="&amp;$A29)</f>
        <v>0</v>
      </c>
      <c r="G29" s="42"/>
      <c r="H29" s="42"/>
      <c r="I29" s="43"/>
      <c r="J29" s="43"/>
      <c r="T29" s="45" t="s">
        <v>172</v>
      </c>
      <c r="U29" s="45" t="s">
        <v>172</v>
      </c>
      <c r="V29" s="45" t="s">
        <v>172</v>
      </c>
      <c r="W29" s="45" t="s">
        <v>172</v>
      </c>
      <c r="X29" s="45" t="s">
        <v>172</v>
      </c>
      <c r="Y29" s="45" t="s">
        <v>172</v>
      </c>
      <c r="Z29" s="45" t="s">
        <v>172</v>
      </c>
      <c r="AA29" s="45" t="s">
        <v>172</v>
      </c>
      <c r="AB29" s="45" t="s">
        <v>172</v>
      </c>
      <c r="AC29" s="45" t="s">
        <v>172</v>
      </c>
      <c r="AD29" s="45" t="s">
        <v>173</v>
      </c>
      <c r="AE29" s="45" t="s">
        <v>174</v>
      </c>
      <c r="AF29" s="45" t="s">
        <v>172</v>
      </c>
      <c r="AG29" s="45" t="s">
        <v>172</v>
      </c>
      <c r="AH29" s="45" t="s">
        <v>172</v>
      </c>
      <c r="AI29" s="45" t="s">
        <v>172</v>
      </c>
      <c r="AJ29" s="45" t="s">
        <v>172</v>
      </c>
      <c r="AK29" s="45" t="s">
        <v>172</v>
      </c>
      <c r="AL29" s="45" t="s">
        <v>172</v>
      </c>
      <c r="AM29" s="45" t="s">
        <v>172</v>
      </c>
      <c r="AN29" s="45" t="s">
        <v>172</v>
      </c>
      <c r="AO29" s="45" t="s">
        <v>172</v>
      </c>
      <c r="AP29" s="45" t="s">
        <v>173</v>
      </c>
      <c r="AQ29" s="45" t="s">
        <v>174</v>
      </c>
      <c r="AR29" s="45" t="s">
        <v>172</v>
      </c>
      <c r="AS29" s="45" t="s">
        <v>172</v>
      </c>
      <c r="AT29" s="45" t="s">
        <v>172</v>
      </c>
      <c r="AU29" s="45" t="s">
        <v>172</v>
      </c>
      <c r="AV29" s="45" t="s">
        <v>172</v>
      </c>
      <c r="AW29" s="45" t="s">
        <v>172</v>
      </c>
      <c r="AX29" s="45" t="s">
        <v>172</v>
      </c>
      <c r="AY29" s="45" t="s">
        <v>172</v>
      </c>
      <c r="AZ29" s="45" t="s">
        <v>172</v>
      </c>
      <c r="BA29" s="45" t="s">
        <v>172</v>
      </c>
      <c r="BB29" s="45" t="s">
        <v>173</v>
      </c>
    </row>
    <row r="30" spans="3:54" s="45" customFormat="1" ht="18" customHeight="1">
      <c r="C30" s="42" t="s">
        <v>178</v>
      </c>
      <c r="D30" s="42" t="s">
        <v>86</v>
      </c>
      <c r="E30" s="43">
        <f ca="1">BAmount(File0,"Gr="&amp;$A30)</f>
        <v>0</v>
      </c>
      <c r="F30" s="43">
        <f ca="1">BOpening(File0,"Gr="&amp;$A30)</f>
        <v>0</v>
      </c>
      <c r="G30" s="42"/>
      <c r="H30" s="42"/>
      <c r="I30" s="43"/>
      <c r="J30" s="43"/>
      <c r="T30" s="45" t="s">
        <v>172</v>
      </c>
      <c r="U30" s="45" t="s">
        <v>172</v>
      </c>
      <c r="V30" s="45" t="s">
        <v>172</v>
      </c>
      <c r="W30" s="45" t="s">
        <v>172</v>
      </c>
      <c r="X30" s="45" t="s">
        <v>172</v>
      </c>
      <c r="Y30" s="45" t="s">
        <v>172</v>
      </c>
      <c r="Z30" s="45" t="s">
        <v>172</v>
      </c>
      <c r="AA30" s="45" t="s">
        <v>172</v>
      </c>
      <c r="AB30" s="45" t="s">
        <v>172</v>
      </c>
      <c r="AC30" s="45" t="s">
        <v>172</v>
      </c>
      <c r="AD30" s="45" t="s">
        <v>173</v>
      </c>
      <c r="AE30" s="45" t="s">
        <v>174</v>
      </c>
      <c r="AF30" s="45" t="s">
        <v>172</v>
      </c>
      <c r="AG30" s="45" t="s">
        <v>172</v>
      </c>
      <c r="AH30" s="45" t="s">
        <v>172</v>
      </c>
      <c r="AI30" s="45" t="s">
        <v>172</v>
      </c>
      <c r="AJ30" s="45" t="s">
        <v>172</v>
      </c>
      <c r="AK30" s="45" t="s">
        <v>172</v>
      </c>
      <c r="AL30" s="45" t="s">
        <v>172</v>
      </c>
      <c r="AM30" s="45" t="s">
        <v>172</v>
      </c>
      <c r="AN30" s="45" t="s">
        <v>172</v>
      </c>
      <c r="AO30" s="45" t="s">
        <v>172</v>
      </c>
      <c r="AP30" s="45" t="s">
        <v>173</v>
      </c>
      <c r="AQ30" s="45" t="s">
        <v>174</v>
      </c>
      <c r="AR30" s="45" t="s">
        <v>172</v>
      </c>
      <c r="AS30" s="45" t="s">
        <v>172</v>
      </c>
      <c r="AT30" s="45" t="s">
        <v>172</v>
      </c>
      <c r="AU30" s="45" t="s">
        <v>172</v>
      </c>
      <c r="AV30" s="45" t="s">
        <v>172</v>
      </c>
      <c r="AW30" s="45" t="s">
        <v>172</v>
      </c>
      <c r="AX30" s="45" t="s">
        <v>172</v>
      </c>
      <c r="AY30" s="45" t="s">
        <v>172</v>
      </c>
      <c r="AZ30" s="45" t="s">
        <v>172</v>
      </c>
      <c r="BA30" s="45" t="s">
        <v>172</v>
      </c>
      <c r="BB30" s="45" t="s">
        <v>173</v>
      </c>
    </row>
    <row r="31" spans="3:54" s="45" customFormat="1" ht="18" customHeight="1">
      <c r="C31" s="42" t="s">
        <v>179</v>
      </c>
      <c r="D31" s="42" t="s">
        <v>88</v>
      </c>
      <c r="E31" s="43">
        <f ca="1">BAmount(File0,"Gr="&amp;$A31)</f>
        <v>0</v>
      </c>
      <c r="F31" s="43">
        <f ca="1">BOpening(File0,"Gr="&amp;$A31)</f>
        <v>0</v>
      </c>
      <c r="G31" s="42"/>
      <c r="H31" s="42"/>
      <c r="I31" s="43"/>
      <c r="J31" s="43"/>
      <c r="T31" s="45" t="s">
        <v>172</v>
      </c>
      <c r="U31" s="45" t="s">
        <v>172</v>
      </c>
      <c r="V31" s="45" t="s">
        <v>172</v>
      </c>
      <c r="W31" s="45" t="s">
        <v>172</v>
      </c>
      <c r="X31" s="45" t="s">
        <v>172</v>
      </c>
      <c r="Y31" s="45" t="s">
        <v>172</v>
      </c>
      <c r="Z31" s="45" t="s">
        <v>172</v>
      </c>
      <c r="AA31" s="45" t="s">
        <v>172</v>
      </c>
      <c r="AB31" s="45" t="s">
        <v>172</v>
      </c>
      <c r="AC31" s="45" t="s">
        <v>172</v>
      </c>
      <c r="AD31" s="45" t="s">
        <v>173</v>
      </c>
      <c r="AE31" s="45" t="s">
        <v>174</v>
      </c>
      <c r="AF31" s="45" t="s">
        <v>172</v>
      </c>
      <c r="AG31" s="45" t="s">
        <v>172</v>
      </c>
      <c r="AH31" s="45" t="s">
        <v>172</v>
      </c>
      <c r="AI31" s="45" t="s">
        <v>172</v>
      </c>
      <c r="AJ31" s="45" t="s">
        <v>172</v>
      </c>
      <c r="AK31" s="45" t="s">
        <v>172</v>
      </c>
      <c r="AL31" s="45" t="s">
        <v>172</v>
      </c>
      <c r="AM31" s="45" t="s">
        <v>172</v>
      </c>
      <c r="AN31" s="45" t="s">
        <v>172</v>
      </c>
      <c r="AO31" s="45" t="s">
        <v>172</v>
      </c>
      <c r="AP31" s="45" t="s">
        <v>173</v>
      </c>
      <c r="AQ31" s="45" t="s">
        <v>174</v>
      </c>
      <c r="AR31" s="45" t="s">
        <v>172</v>
      </c>
      <c r="AS31" s="45" t="s">
        <v>172</v>
      </c>
      <c r="AT31" s="45" t="s">
        <v>172</v>
      </c>
      <c r="AU31" s="45" t="s">
        <v>172</v>
      </c>
      <c r="AV31" s="45" t="s">
        <v>172</v>
      </c>
      <c r="AW31" s="45" t="s">
        <v>172</v>
      </c>
      <c r="AX31" s="45" t="s">
        <v>172</v>
      </c>
      <c r="AY31" s="45" t="s">
        <v>172</v>
      </c>
      <c r="AZ31" s="45" t="s">
        <v>172</v>
      </c>
      <c r="BA31" s="45" t="s">
        <v>172</v>
      </c>
      <c r="BB31" s="45" t="s">
        <v>173</v>
      </c>
    </row>
    <row r="32" spans="3:54" s="45" customFormat="1" ht="18" customHeight="1">
      <c r="C32" s="42" t="s">
        <v>180</v>
      </c>
      <c r="D32" s="42" t="s">
        <v>90</v>
      </c>
      <c r="E32" s="43">
        <f ca="1">BAmount(File0,"Gr="&amp;$A32)</f>
        <v>0</v>
      </c>
      <c r="F32" s="43">
        <f ca="1">BOpening(File0,"Gr="&amp;$A32)</f>
        <v>0</v>
      </c>
      <c r="G32" s="48" t="s">
        <v>181</v>
      </c>
      <c r="H32" s="49"/>
      <c r="I32" s="49"/>
      <c r="J32" s="49"/>
    </row>
    <row r="33" spans="3:10" s="45" customFormat="1" ht="18" customHeight="1">
      <c r="C33" s="42" t="s">
        <v>182</v>
      </c>
      <c r="D33" s="42" t="s">
        <v>92</v>
      </c>
      <c r="E33" s="43">
        <f ca="1">BAmount(File0,"Gr="&amp;$A33)</f>
        <v>0</v>
      </c>
      <c r="F33" s="43">
        <f ca="1">BOpening(File0,"Gr="&amp;$A33)</f>
        <v>0</v>
      </c>
      <c r="G33" s="42" t="s">
        <v>183</v>
      </c>
      <c r="H33" s="42" t="s">
        <v>184</v>
      </c>
      <c r="I33" s="43">
        <f ca="1">BAmount(File0,"Gr="&amp;$B33)</f>
        <v>0</v>
      </c>
      <c r="J33" s="43">
        <f ca="1">BOpening(File0,"Gr="&amp;$B33)*-1</f>
        <v>0</v>
      </c>
    </row>
    <row r="34" spans="3:10" s="45" customFormat="1" ht="18" customHeight="1">
      <c r="C34" s="42" t="s">
        <v>185</v>
      </c>
      <c r="D34" s="42" t="s">
        <v>94</v>
      </c>
      <c r="E34" s="43">
        <f ca="1">BAmount(File0,"Gr="&amp;$A34)</f>
        <v>0</v>
      </c>
      <c r="F34" s="43">
        <f ca="1">BOpening(File0,"Gr="&amp;$A34)</f>
        <v>0</v>
      </c>
      <c r="G34" s="42" t="s">
        <v>186</v>
      </c>
      <c r="H34" s="42" t="s">
        <v>187</v>
      </c>
      <c r="I34" s="43">
        <f ca="1">BAmount(File0,"Gr="&amp;$B34)</f>
        <v>0</v>
      </c>
      <c r="J34" s="43">
        <f ca="1">BOpening(File0,"Gr="&amp;$B34)*-1</f>
        <v>0</v>
      </c>
    </row>
    <row r="35" spans="3:10" s="45" customFormat="1" ht="18" customHeight="1">
      <c r="C35" s="42" t="s">
        <v>188</v>
      </c>
      <c r="D35" s="42" t="s">
        <v>96</v>
      </c>
      <c r="E35" s="43">
        <f ca="1">BAmount(File0,"Gr="&amp;$A35)</f>
        <v>0</v>
      </c>
      <c r="F35" s="43">
        <f ca="1">BOpening(File0,"Gr="&amp;$A35)</f>
        <v>0</v>
      </c>
      <c r="G35" s="42" t="s">
        <v>189</v>
      </c>
      <c r="H35" s="42" t="s">
        <v>190</v>
      </c>
      <c r="I35" s="43">
        <f ca="1">BAmount(File0,"Gr="&amp;$B35)</f>
        <v>0</v>
      </c>
      <c r="J35" s="43">
        <f ca="1">BOpening(File0,"Gr="&amp;$B35)*-1</f>
        <v>0</v>
      </c>
    </row>
    <row r="36" spans="3:10" s="45" customFormat="1" ht="18" customHeight="1">
      <c r="C36" s="42" t="s">
        <v>191</v>
      </c>
      <c r="D36" s="42" t="s">
        <v>98</v>
      </c>
      <c r="E36" s="43">
        <f ca="1">BAmount(File0,"Gr="&amp;$A36)</f>
        <v>0</v>
      </c>
      <c r="F36" s="43">
        <f ca="1">BOpening(File0,"Gr="&amp;$A36)</f>
        <v>0</v>
      </c>
      <c r="G36" s="42" t="s">
        <v>192</v>
      </c>
      <c r="H36" s="42" t="s">
        <v>193</v>
      </c>
      <c r="I36" s="43">
        <f ca="1">BAmount(File0,"Gr="&amp;$B36)</f>
        <v>0</v>
      </c>
      <c r="J36" s="43">
        <f ca="1">BOpening(File0,"Gr="&amp;$B36)*-1</f>
        <v>0</v>
      </c>
    </row>
    <row r="37" spans="3:10" s="45" customFormat="1" ht="18" customHeight="1">
      <c r="C37" s="42" t="s">
        <v>194</v>
      </c>
      <c r="D37" s="42" t="s">
        <v>100</v>
      </c>
      <c r="E37" s="44">
        <f ca="1">SUM(E24,E25,E28,E29,E30,E31,E32,E33,E34,E35,E36)</f>
        <v>0</v>
      </c>
      <c r="F37" s="44">
        <f ca="1">SUM(F24,F25,F28,F29,F30,F31,F32,F33,F34,F35,F36)</f>
        <v>0</v>
      </c>
      <c r="G37" s="42" t="s">
        <v>195</v>
      </c>
      <c r="H37" s="42" t="s">
        <v>196</v>
      </c>
      <c r="I37" s="44">
        <f ca="1">SUM(I33:I36)</f>
        <v>0</v>
      </c>
      <c r="J37" s="44">
        <f ca="1">SUM(J33:J36)</f>
        <v>0</v>
      </c>
    </row>
    <row r="38" spans="3:10" s="45" customFormat="1" ht="18" customHeight="1">
      <c r="C38" s="42" t="s">
        <v>197</v>
      </c>
      <c r="D38" s="42" t="s">
        <v>102</v>
      </c>
      <c r="E38" s="44">
        <f ca="1">sheet0_f_h30l2+sheet0_f_h15l2</f>
        <v>8001</v>
      </c>
      <c r="F38" s="44">
        <f ca="1">sheet0_f_h30l3+sheet0_f_h15l3</f>
        <v>1</v>
      </c>
      <c r="G38" s="42" t="s">
        <v>198</v>
      </c>
      <c r="H38" s="42" t="s">
        <v>199</v>
      </c>
      <c r="I38" s="44">
        <f ca="1">sheet0_f_h30l5+sheet0_f_h18l5</f>
        <v>1001</v>
      </c>
      <c r="J38" s="44">
        <f ca="1">sheet0_f_h30l6+sheet0_f_h18l6</f>
        <v>1</v>
      </c>
    </row>
  </sheetData>
  <mergeCells count="11">
    <mergeCell ref="C7:F7"/>
    <mergeCell ref="G7:J7"/>
    <mergeCell ref="G19:J19"/>
    <mergeCell ref="C23:F23"/>
    <mergeCell ref="G32:J32"/>
    <mergeCell ref="C3:J3"/>
    <mergeCell ref="C4:F4"/>
    <mergeCell ref="G4:J4"/>
    <mergeCell ref="C5:F5"/>
    <mergeCell ref="G5:H5"/>
    <mergeCell ref="I5:J5"/>
  </mergeCells>
  <pageMargins left="0.78740157480314965" right="0.78740157480314965" top="0.98425196850393704" bottom="0.98425196850393704" header="0.51181102362204722" footer="0.51181102362204722"/>
  <pageSetup scale="73" orientation="landscape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E67"/>
  <sheetViews>
    <sheetView tabSelected="1" workbookViewId="0">
      <selection activeCell="B1" sqref="B1:E40"/>
    </sheetView>
  </sheetViews>
  <sheetFormatPr baseColWidth="10" defaultRowHeight="12.75"/>
  <cols>
    <col min="1" max="1" width="11.42578125" style="38"/>
    <col min="2" max="2" width="44.28515625" style="38" customWidth="1"/>
    <col min="3" max="3" width="9.140625" style="38" customWidth="1"/>
    <col min="4" max="4" width="20.42578125" style="38" customWidth="1"/>
    <col min="5" max="5" width="19.85546875" style="38" customWidth="1"/>
    <col min="6" max="257" width="9.140625" style="38" customWidth="1"/>
    <col min="258" max="258" width="44.28515625" style="38" customWidth="1"/>
    <col min="259" max="259" width="9.140625" style="38" customWidth="1"/>
    <col min="260" max="260" width="20.42578125" style="38" customWidth="1"/>
    <col min="261" max="261" width="19.85546875" style="38" customWidth="1"/>
    <col min="262" max="513" width="9.140625" style="38" customWidth="1"/>
    <col min="514" max="514" width="44.28515625" style="38" customWidth="1"/>
    <col min="515" max="515" width="9.140625" style="38" customWidth="1"/>
    <col min="516" max="516" width="20.42578125" style="38" customWidth="1"/>
    <col min="517" max="517" width="19.85546875" style="38" customWidth="1"/>
    <col min="518" max="769" width="9.140625" style="38" customWidth="1"/>
    <col min="770" max="770" width="44.28515625" style="38" customWidth="1"/>
    <col min="771" max="771" width="9.140625" style="38" customWidth="1"/>
    <col min="772" max="772" width="20.42578125" style="38" customWidth="1"/>
    <col min="773" max="773" width="19.85546875" style="38" customWidth="1"/>
    <col min="774" max="1025" width="9.140625" style="38" customWidth="1"/>
    <col min="1026" max="1026" width="44.28515625" style="38" customWidth="1"/>
    <col min="1027" max="1027" width="9.140625" style="38" customWidth="1"/>
    <col min="1028" max="1028" width="20.42578125" style="38" customWidth="1"/>
    <col min="1029" max="1029" width="19.85546875" style="38" customWidth="1"/>
    <col min="1030" max="1281" width="9.140625" style="38" customWidth="1"/>
    <col min="1282" max="1282" width="44.28515625" style="38" customWidth="1"/>
    <col min="1283" max="1283" width="9.140625" style="38" customWidth="1"/>
    <col min="1284" max="1284" width="20.42578125" style="38" customWidth="1"/>
    <col min="1285" max="1285" width="19.85546875" style="38" customWidth="1"/>
    <col min="1286" max="1537" width="9.140625" style="38" customWidth="1"/>
    <col min="1538" max="1538" width="44.28515625" style="38" customWidth="1"/>
    <col min="1539" max="1539" width="9.140625" style="38" customWidth="1"/>
    <col min="1540" max="1540" width="20.42578125" style="38" customWidth="1"/>
    <col min="1541" max="1541" width="19.85546875" style="38" customWidth="1"/>
    <col min="1542" max="1793" width="9.140625" style="38" customWidth="1"/>
    <col min="1794" max="1794" width="44.28515625" style="38" customWidth="1"/>
    <col min="1795" max="1795" width="9.140625" style="38" customWidth="1"/>
    <col min="1796" max="1796" width="20.42578125" style="38" customWidth="1"/>
    <col min="1797" max="1797" width="19.85546875" style="38" customWidth="1"/>
    <col min="1798" max="2049" width="9.140625" style="38" customWidth="1"/>
    <col min="2050" max="2050" width="44.28515625" style="38" customWidth="1"/>
    <col min="2051" max="2051" width="9.140625" style="38" customWidth="1"/>
    <col min="2052" max="2052" width="20.42578125" style="38" customWidth="1"/>
    <col min="2053" max="2053" width="19.85546875" style="38" customWidth="1"/>
    <col min="2054" max="2305" width="9.140625" style="38" customWidth="1"/>
    <col min="2306" max="2306" width="44.28515625" style="38" customWidth="1"/>
    <col min="2307" max="2307" width="9.140625" style="38" customWidth="1"/>
    <col min="2308" max="2308" width="20.42578125" style="38" customWidth="1"/>
    <col min="2309" max="2309" width="19.85546875" style="38" customWidth="1"/>
    <col min="2310" max="2561" width="9.140625" style="38" customWidth="1"/>
    <col min="2562" max="2562" width="44.28515625" style="38" customWidth="1"/>
    <col min="2563" max="2563" width="9.140625" style="38" customWidth="1"/>
    <col min="2564" max="2564" width="20.42578125" style="38" customWidth="1"/>
    <col min="2565" max="2565" width="19.85546875" style="38" customWidth="1"/>
    <col min="2566" max="2817" width="9.140625" style="38" customWidth="1"/>
    <col min="2818" max="2818" width="44.28515625" style="38" customWidth="1"/>
    <col min="2819" max="2819" width="9.140625" style="38" customWidth="1"/>
    <col min="2820" max="2820" width="20.42578125" style="38" customWidth="1"/>
    <col min="2821" max="2821" width="19.85546875" style="38" customWidth="1"/>
    <col min="2822" max="3073" width="9.140625" style="38" customWidth="1"/>
    <col min="3074" max="3074" width="44.28515625" style="38" customWidth="1"/>
    <col min="3075" max="3075" width="9.140625" style="38" customWidth="1"/>
    <col min="3076" max="3076" width="20.42578125" style="38" customWidth="1"/>
    <col min="3077" max="3077" width="19.85546875" style="38" customWidth="1"/>
    <col min="3078" max="3329" width="9.140625" style="38" customWidth="1"/>
    <col min="3330" max="3330" width="44.28515625" style="38" customWidth="1"/>
    <col min="3331" max="3331" width="9.140625" style="38" customWidth="1"/>
    <col min="3332" max="3332" width="20.42578125" style="38" customWidth="1"/>
    <col min="3333" max="3333" width="19.85546875" style="38" customWidth="1"/>
    <col min="3334" max="3585" width="9.140625" style="38" customWidth="1"/>
    <col min="3586" max="3586" width="44.28515625" style="38" customWidth="1"/>
    <col min="3587" max="3587" width="9.140625" style="38" customWidth="1"/>
    <col min="3588" max="3588" width="20.42578125" style="38" customWidth="1"/>
    <col min="3589" max="3589" width="19.85546875" style="38" customWidth="1"/>
    <col min="3590" max="3841" width="9.140625" style="38" customWidth="1"/>
    <col min="3842" max="3842" width="44.28515625" style="38" customWidth="1"/>
    <col min="3843" max="3843" width="9.140625" style="38" customWidth="1"/>
    <col min="3844" max="3844" width="20.42578125" style="38" customWidth="1"/>
    <col min="3845" max="3845" width="19.85546875" style="38" customWidth="1"/>
    <col min="3846" max="4097" width="9.140625" style="38" customWidth="1"/>
    <col min="4098" max="4098" width="44.28515625" style="38" customWidth="1"/>
    <col min="4099" max="4099" width="9.140625" style="38" customWidth="1"/>
    <col min="4100" max="4100" width="20.42578125" style="38" customWidth="1"/>
    <col min="4101" max="4101" width="19.85546875" style="38" customWidth="1"/>
    <col min="4102" max="4353" width="9.140625" style="38" customWidth="1"/>
    <col min="4354" max="4354" width="44.28515625" style="38" customWidth="1"/>
    <col min="4355" max="4355" width="9.140625" style="38" customWidth="1"/>
    <col min="4356" max="4356" width="20.42578125" style="38" customWidth="1"/>
    <col min="4357" max="4357" width="19.85546875" style="38" customWidth="1"/>
    <col min="4358" max="4609" width="9.140625" style="38" customWidth="1"/>
    <col min="4610" max="4610" width="44.28515625" style="38" customWidth="1"/>
    <col min="4611" max="4611" width="9.140625" style="38" customWidth="1"/>
    <col min="4612" max="4612" width="20.42578125" style="38" customWidth="1"/>
    <col min="4613" max="4613" width="19.85546875" style="38" customWidth="1"/>
    <col min="4614" max="4865" width="9.140625" style="38" customWidth="1"/>
    <col min="4866" max="4866" width="44.28515625" style="38" customWidth="1"/>
    <col min="4867" max="4867" width="9.140625" style="38" customWidth="1"/>
    <col min="4868" max="4868" width="20.42578125" style="38" customWidth="1"/>
    <col min="4869" max="4869" width="19.85546875" style="38" customWidth="1"/>
    <col min="4870" max="5121" width="9.140625" style="38" customWidth="1"/>
    <col min="5122" max="5122" width="44.28515625" style="38" customWidth="1"/>
    <col min="5123" max="5123" width="9.140625" style="38" customWidth="1"/>
    <col min="5124" max="5124" width="20.42578125" style="38" customWidth="1"/>
    <col min="5125" max="5125" width="19.85546875" style="38" customWidth="1"/>
    <col min="5126" max="5377" width="9.140625" style="38" customWidth="1"/>
    <col min="5378" max="5378" width="44.28515625" style="38" customWidth="1"/>
    <col min="5379" max="5379" width="9.140625" style="38" customWidth="1"/>
    <col min="5380" max="5380" width="20.42578125" style="38" customWidth="1"/>
    <col min="5381" max="5381" width="19.85546875" style="38" customWidth="1"/>
    <col min="5382" max="5633" width="9.140625" style="38" customWidth="1"/>
    <col min="5634" max="5634" width="44.28515625" style="38" customWidth="1"/>
    <col min="5635" max="5635" width="9.140625" style="38" customWidth="1"/>
    <col min="5636" max="5636" width="20.42578125" style="38" customWidth="1"/>
    <col min="5637" max="5637" width="19.85546875" style="38" customWidth="1"/>
    <col min="5638" max="5889" width="9.140625" style="38" customWidth="1"/>
    <col min="5890" max="5890" width="44.28515625" style="38" customWidth="1"/>
    <col min="5891" max="5891" width="9.140625" style="38" customWidth="1"/>
    <col min="5892" max="5892" width="20.42578125" style="38" customWidth="1"/>
    <col min="5893" max="5893" width="19.85546875" style="38" customWidth="1"/>
    <col min="5894" max="6145" width="9.140625" style="38" customWidth="1"/>
    <col min="6146" max="6146" width="44.28515625" style="38" customWidth="1"/>
    <col min="6147" max="6147" width="9.140625" style="38" customWidth="1"/>
    <col min="6148" max="6148" width="20.42578125" style="38" customWidth="1"/>
    <col min="6149" max="6149" width="19.85546875" style="38" customWidth="1"/>
    <col min="6150" max="6401" width="9.140625" style="38" customWidth="1"/>
    <col min="6402" max="6402" width="44.28515625" style="38" customWidth="1"/>
    <col min="6403" max="6403" width="9.140625" style="38" customWidth="1"/>
    <col min="6404" max="6404" width="20.42578125" style="38" customWidth="1"/>
    <col min="6405" max="6405" width="19.85546875" style="38" customWidth="1"/>
    <col min="6406" max="6657" width="9.140625" style="38" customWidth="1"/>
    <col min="6658" max="6658" width="44.28515625" style="38" customWidth="1"/>
    <col min="6659" max="6659" width="9.140625" style="38" customWidth="1"/>
    <col min="6660" max="6660" width="20.42578125" style="38" customWidth="1"/>
    <col min="6661" max="6661" width="19.85546875" style="38" customWidth="1"/>
    <col min="6662" max="6913" width="9.140625" style="38" customWidth="1"/>
    <col min="6914" max="6914" width="44.28515625" style="38" customWidth="1"/>
    <col min="6915" max="6915" width="9.140625" style="38" customWidth="1"/>
    <col min="6916" max="6916" width="20.42578125" style="38" customWidth="1"/>
    <col min="6917" max="6917" width="19.85546875" style="38" customWidth="1"/>
    <col min="6918" max="7169" width="9.140625" style="38" customWidth="1"/>
    <col min="7170" max="7170" width="44.28515625" style="38" customWidth="1"/>
    <col min="7171" max="7171" width="9.140625" style="38" customWidth="1"/>
    <col min="7172" max="7172" width="20.42578125" style="38" customWidth="1"/>
    <col min="7173" max="7173" width="19.85546875" style="38" customWidth="1"/>
    <col min="7174" max="7425" width="9.140625" style="38" customWidth="1"/>
    <col min="7426" max="7426" width="44.28515625" style="38" customWidth="1"/>
    <col min="7427" max="7427" width="9.140625" style="38" customWidth="1"/>
    <col min="7428" max="7428" width="20.42578125" style="38" customWidth="1"/>
    <col min="7429" max="7429" width="19.85546875" style="38" customWidth="1"/>
    <col min="7430" max="7681" width="9.140625" style="38" customWidth="1"/>
    <col min="7682" max="7682" width="44.28515625" style="38" customWidth="1"/>
    <col min="7683" max="7683" width="9.140625" style="38" customWidth="1"/>
    <col min="7684" max="7684" width="20.42578125" style="38" customWidth="1"/>
    <col min="7685" max="7685" width="19.85546875" style="38" customWidth="1"/>
    <col min="7686" max="7937" width="9.140625" style="38" customWidth="1"/>
    <col min="7938" max="7938" width="44.28515625" style="38" customWidth="1"/>
    <col min="7939" max="7939" width="9.140625" style="38" customWidth="1"/>
    <col min="7940" max="7940" width="20.42578125" style="38" customWidth="1"/>
    <col min="7941" max="7941" width="19.85546875" style="38" customWidth="1"/>
    <col min="7942" max="8193" width="9.140625" style="38" customWidth="1"/>
    <col min="8194" max="8194" width="44.28515625" style="38" customWidth="1"/>
    <col min="8195" max="8195" width="9.140625" style="38" customWidth="1"/>
    <col min="8196" max="8196" width="20.42578125" style="38" customWidth="1"/>
    <col min="8197" max="8197" width="19.85546875" style="38" customWidth="1"/>
    <col min="8198" max="8449" width="9.140625" style="38" customWidth="1"/>
    <col min="8450" max="8450" width="44.28515625" style="38" customWidth="1"/>
    <col min="8451" max="8451" width="9.140625" style="38" customWidth="1"/>
    <col min="8452" max="8452" width="20.42578125" style="38" customWidth="1"/>
    <col min="8453" max="8453" width="19.85546875" style="38" customWidth="1"/>
    <col min="8454" max="8705" width="9.140625" style="38" customWidth="1"/>
    <col min="8706" max="8706" width="44.28515625" style="38" customWidth="1"/>
    <col min="8707" max="8707" width="9.140625" style="38" customWidth="1"/>
    <col min="8708" max="8708" width="20.42578125" style="38" customWidth="1"/>
    <col min="8709" max="8709" width="19.85546875" style="38" customWidth="1"/>
    <col min="8710" max="8961" width="9.140625" style="38" customWidth="1"/>
    <col min="8962" max="8962" width="44.28515625" style="38" customWidth="1"/>
    <col min="8963" max="8963" width="9.140625" style="38" customWidth="1"/>
    <col min="8964" max="8964" width="20.42578125" style="38" customWidth="1"/>
    <col min="8965" max="8965" width="19.85546875" style="38" customWidth="1"/>
    <col min="8966" max="9217" width="9.140625" style="38" customWidth="1"/>
    <col min="9218" max="9218" width="44.28515625" style="38" customWidth="1"/>
    <col min="9219" max="9219" width="9.140625" style="38" customWidth="1"/>
    <col min="9220" max="9220" width="20.42578125" style="38" customWidth="1"/>
    <col min="9221" max="9221" width="19.85546875" style="38" customWidth="1"/>
    <col min="9222" max="9473" width="9.140625" style="38" customWidth="1"/>
    <col min="9474" max="9474" width="44.28515625" style="38" customWidth="1"/>
    <col min="9475" max="9475" width="9.140625" style="38" customWidth="1"/>
    <col min="9476" max="9476" width="20.42578125" style="38" customWidth="1"/>
    <col min="9477" max="9477" width="19.85546875" style="38" customWidth="1"/>
    <col min="9478" max="9729" width="9.140625" style="38" customWidth="1"/>
    <col min="9730" max="9730" width="44.28515625" style="38" customWidth="1"/>
    <col min="9731" max="9731" width="9.140625" style="38" customWidth="1"/>
    <col min="9732" max="9732" width="20.42578125" style="38" customWidth="1"/>
    <col min="9733" max="9733" width="19.85546875" style="38" customWidth="1"/>
    <col min="9734" max="9985" width="9.140625" style="38" customWidth="1"/>
    <col min="9986" max="9986" width="44.28515625" style="38" customWidth="1"/>
    <col min="9987" max="9987" width="9.140625" style="38" customWidth="1"/>
    <col min="9988" max="9988" width="20.42578125" style="38" customWidth="1"/>
    <col min="9989" max="9989" width="19.85546875" style="38" customWidth="1"/>
    <col min="9990" max="10241" width="9.140625" style="38" customWidth="1"/>
    <col min="10242" max="10242" width="44.28515625" style="38" customWidth="1"/>
    <col min="10243" max="10243" width="9.140625" style="38" customWidth="1"/>
    <col min="10244" max="10244" width="20.42578125" style="38" customWidth="1"/>
    <col min="10245" max="10245" width="19.85546875" style="38" customWidth="1"/>
    <col min="10246" max="10497" width="9.140625" style="38" customWidth="1"/>
    <col min="10498" max="10498" width="44.28515625" style="38" customWidth="1"/>
    <col min="10499" max="10499" width="9.140625" style="38" customWidth="1"/>
    <col min="10500" max="10500" width="20.42578125" style="38" customWidth="1"/>
    <col min="10501" max="10501" width="19.85546875" style="38" customWidth="1"/>
    <col min="10502" max="10753" width="9.140625" style="38" customWidth="1"/>
    <col min="10754" max="10754" width="44.28515625" style="38" customWidth="1"/>
    <col min="10755" max="10755" width="9.140625" style="38" customWidth="1"/>
    <col min="10756" max="10756" width="20.42578125" style="38" customWidth="1"/>
    <col min="10757" max="10757" width="19.85546875" style="38" customWidth="1"/>
    <col min="10758" max="11009" width="9.140625" style="38" customWidth="1"/>
    <col min="11010" max="11010" width="44.28515625" style="38" customWidth="1"/>
    <col min="11011" max="11011" width="9.140625" style="38" customWidth="1"/>
    <col min="11012" max="11012" width="20.42578125" style="38" customWidth="1"/>
    <col min="11013" max="11013" width="19.85546875" style="38" customWidth="1"/>
    <col min="11014" max="11265" width="9.140625" style="38" customWidth="1"/>
    <col min="11266" max="11266" width="44.28515625" style="38" customWidth="1"/>
    <col min="11267" max="11267" width="9.140625" style="38" customWidth="1"/>
    <col min="11268" max="11268" width="20.42578125" style="38" customWidth="1"/>
    <col min="11269" max="11269" width="19.85546875" style="38" customWidth="1"/>
    <col min="11270" max="11521" width="9.140625" style="38" customWidth="1"/>
    <col min="11522" max="11522" width="44.28515625" style="38" customWidth="1"/>
    <col min="11523" max="11523" width="9.140625" style="38" customWidth="1"/>
    <col min="11524" max="11524" width="20.42578125" style="38" customWidth="1"/>
    <col min="11525" max="11525" width="19.85546875" style="38" customWidth="1"/>
    <col min="11526" max="11777" width="9.140625" style="38" customWidth="1"/>
    <col min="11778" max="11778" width="44.28515625" style="38" customWidth="1"/>
    <col min="11779" max="11779" width="9.140625" style="38" customWidth="1"/>
    <col min="11780" max="11780" width="20.42578125" style="38" customWidth="1"/>
    <col min="11781" max="11781" width="19.85546875" style="38" customWidth="1"/>
    <col min="11782" max="12033" width="9.140625" style="38" customWidth="1"/>
    <col min="12034" max="12034" width="44.28515625" style="38" customWidth="1"/>
    <col min="12035" max="12035" width="9.140625" style="38" customWidth="1"/>
    <col min="12036" max="12036" width="20.42578125" style="38" customWidth="1"/>
    <col min="12037" max="12037" width="19.85546875" style="38" customWidth="1"/>
    <col min="12038" max="12289" width="9.140625" style="38" customWidth="1"/>
    <col min="12290" max="12290" width="44.28515625" style="38" customWidth="1"/>
    <col min="12291" max="12291" width="9.140625" style="38" customWidth="1"/>
    <col min="12292" max="12292" width="20.42578125" style="38" customWidth="1"/>
    <col min="12293" max="12293" width="19.85546875" style="38" customWidth="1"/>
    <col min="12294" max="12545" width="9.140625" style="38" customWidth="1"/>
    <col min="12546" max="12546" width="44.28515625" style="38" customWidth="1"/>
    <col min="12547" max="12547" width="9.140625" style="38" customWidth="1"/>
    <col min="12548" max="12548" width="20.42578125" style="38" customWidth="1"/>
    <col min="12549" max="12549" width="19.85546875" style="38" customWidth="1"/>
    <col min="12550" max="12801" width="9.140625" style="38" customWidth="1"/>
    <col min="12802" max="12802" width="44.28515625" style="38" customWidth="1"/>
    <col min="12803" max="12803" width="9.140625" style="38" customWidth="1"/>
    <col min="12804" max="12804" width="20.42578125" style="38" customWidth="1"/>
    <col min="12805" max="12805" width="19.85546875" style="38" customWidth="1"/>
    <col min="12806" max="13057" width="9.140625" style="38" customWidth="1"/>
    <col min="13058" max="13058" width="44.28515625" style="38" customWidth="1"/>
    <col min="13059" max="13059" width="9.140625" style="38" customWidth="1"/>
    <col min="13060" max="13060" width="20.42578125" style="38" customWidth="1"/>
    <col min="13061" max="13061" width="19.85546875" style="38" customWidth="1"/>
    <col min="13062" max="13313" width="9.140625" style="38" customWidth="1"/>
    <col min="13314" max="13314" width="44.28515625" style="38" customWidth="1"/>
    <col min="13315" max="13315" width="9.140625" style="38" customWidth="1"/>
    <col min="13316" max="13316" width="20.42578125" style="38" customWidth="1"/>
    <col min="13317" max="13317" width="19.85546875" style="38" customWidth="1"/>
    <col min="13318" max="13569" width="9.140625" style="38" customWidth="1"/>
    <col min="13570" max="13570" width="44.28515625" style="38" customWidth="1"/>
    <col min="13571" max="13571" width="9.140625" style="38" customWidth="1"/>
    <col min="13572" max="13572" width="20.42578125" style="38" customWidth="1"/>
    <col min="13573" max="13573" width="19.85546875" style="38" customWidth="1"/>
    <col min="13574" max="13825" width="9.140625" style="38" customWidth="1"/>
    <col min="13826" max="13826" width="44.28515625" style="38" customWidth="1"/>
    <col min="13827" max="13827" width="9.140625" style="38" customWidth="1"/>
    <col min="13828" max="13828" width="20.42578125" style="38" customWidth="1"/>
    <col min="13829" max="13829" width="19.85546875" style="38" customWidth="1"/>
    <col min="13830" max="14081" width="9.140625" style="38" customWidth="1"/>
    <col min="14082" max="14082" width="44.28515625" style="38" customWidth="1"/>
    <col min="14083" max="14083" width="9.140625" style="38" customWidth="1"/>
    <col min="14084" max="14084" width="20.42578125" style="38" customWidth="1"/>
    <col min="14085" max="14085" width="19.85546875" style="38" customWidth="1"/>
    <col min="14086" max="14337" width="9.140625" style="38" customWidth="1"/>
    <col min="14338" max="14338" width="44.28515625" style="38" customWidth="1"/>
    <col min="14339" max="14339" width="9.140625" style="38" customWidth="1"/>
    <col min="14340" max="14340" width="20.42578125" style="38" customWidth="1"/>
    <col min="14341" max="14341" width="19.85546875" style="38" customWidth="1"/>
    <col min="14342" max="14593" width="9.140625" style="38" customWidth="1"/>
    <col min="14594" max="14594" width="44.28515625" style="38" customWidth="1"/>
    <col min="14595" max="14595" width="9.140625" style="38" customWidth="1"/>
    <col min="14596" max="14596" width="20.42578125" style="38" customWidth="1"/>
    <col min="14597" max="14597" width="19.85546875" style="38" customWidth="1"/>
    <col min="14598" max="14849" width="9.140625" style="38" customWidth="1"/>
    <col min="14850" max="14850" width="44.28515625" style="38" customWidth="1"/>
    <col min="14851" max="14851" width="9.140625" style="38" customWidth="1"/>
    <col min="14852" max="14852" width="20.42578125" style="38" customWidth="1"/>
    <col min="14853" max="14853" width="19.85546875" style="38" customWidth="1"/>
    <col min="14854" max="15105" width="9.140625" style="38" customWidth="1"/>
    <col min="15106" max="15106" width="44.28515625" style="38" customWidth="1"/>
    <col min="15107" max="15107" width="9.140625" style="38" customWidth="1"/>
    <col min="15108" max="15108" width="20.42578125" style="38" customWidth="1"/>
    <col min="15109" max="15109" width="19.85546875" style="38" customWidth="1"/>
    <col min="15110" max="15361" width="9.140625" style="38" customWidth="1"/>
    <col min="15362" max="15362" width="44.28515625" style="38" customWidth="1"/>
    <col min="15363" max="15363" width="9.140625" style="38" customWidth="1"/>
    <col min="15364" max="15364" width="20.42578125" style="38" customWidth="1"/>
    <col min="15365" max="15365" width="19.85546875" style="38" customWidth="1"/>
    <col min="15366" max="15617" width="9.140625" style="38" customWidth="1"/>
    <col min="15618" max="15618" width="44.28515625" style="38" customWidth="1"/>
    <col min="15619" max="15619" width="9.140625" style="38" customWidth="1"/>
    <col min="15620" max="15620" width="20.42578125" style="38" customWidth="1"/>
    <col min="15621" max="15621" width="19.85546875" style="38" customWidth="1"/>
    <col min="15622" max="15873" width="9.140625" style="38" customWidth="1"/>
    <col min="15874" max="15874" width="44.28515625" style="38" customWidth="1"/>
    <col min="15875" max="15875" width="9.140625" style="38" customWidth="1"/>
    <col min="15876" max="15876" width="20.42578125" style="38" customWidth="1"/>
    <col min="15877" max="15877" width="19.85546875" style="38" customWidth="1"/>
    <col min="15878" max="16129" width="9.140625" style="38" customWidth="1"/>
    <col min="16130" max="16130" width="44.28515625" style="38" customWidth="1"/>
    <col min="16131" max="16131" width="9.140625" style="38" customWidth="1"/>
    <col min="16132" max="16132" width="20.42578125" style="38" customWidth="1"/>
    <col min="16133" max="16133" width="19.85546875" style="38" customWidth="1"/>
    <col min="16134" max="16384" width="9.140625" style="38" customWidth="1"/>
  </cols>
  <sheetData>
    <row r="1" spans="1:5" s="32" customFormat="1" ht="18" customHeight="1">
      <c r="B1" s="31" t="s">
        <v>32</v>
      </c>
    </row>
    <row r="2" spans="1:5" s="33" customFormat="1" ht="0.75" customHeight="1">
      <c r="B2" s="32" t="s">
        <v>33</v>
      </c>
    </row>
    <row r="3" spans="1:5" s="35" customFormat="1" ht="18" customHeight="1">
      <c r="B3" s="34" t="s">
        <v>34</v>
      </c>
      <c r="C3" s="34"/>
      <c r="D3" s="34"/>
      <c r="E3" s="34"/>
    </row>
    <row r="4" spans="1:5" ht="18" customHeight="1">
      <c r="A4" s="38" t="s">
        <v>238</v>
      </c>
      <c r="B4" s="36" t="s">
        <v>35</v>
      </c>
      <c r="C4" s="36"/>
      <c r="D4" s="37" t="s">
        <v>36</v>
      </c>
      <c r="E4" s="37"/>
    </row>
    <row r="5" spans="1:5" ht="18" customHeight="1">
      <c r="A5" s="38" t="s">
        <v>239</v>
      </c>
      <c r="B5" s="32" t="s">
        <v>37</v>
      </c>
      <c r="C5" s="39" t="s">
        <v>38</v>
      </c>
      <c r="D5" s="39"/>
      <c r="E5" s="40" t="s">
        <v>39</v>
      </c>
    </row>
    <row r="6" spans="1:5" ht="18" customHeight="1">
      <c r="A6" s="38" t="s">
        <v>237</v>
      </c>
      <c r="B6" s="41" t="s">
        <v>40</v>
      </c>
      <c r="C6" s="41" t="s">
        <v>41</v>
      </c>
      <c r="D6" s="41" t="s">
        <v>42</v>
      </c>
      <c r="E6" s="41" t="s">
        <v>43</v>
      </c>
    </row>
    <row r="7" spans="1:5" ht="18" customHeight="1">
      <c r="A7" s="38">
        <v>4</v>
      </c>
      <c r="B7" s="61" t="s">
        <v>107</v>
      </c>
      <c r="C7" s="42" t="s">
        <v>44</v>
      </c>
      <c r="D7" s="62">
        <f ca="1">BAmount(File0,"Gr="&amp;$A7)</f>
        <v>7000</v>
      </c>
      <c r="E7" s="62">
        <f ca="1">BAmount(File0,"Gr="&amp;$A7,$A$5)</f>
        <v>5000</v>
      </c>
    </row>
    <row r="8" spans="1:5" ht="18" customHeight="1">
      <c r="B8" s="42" t="s">
        <v>45</v>
      </c>
      <c r="C8" s="42" t="s">
        <v>46</v>
      </c>
      <c r="D8" s="62">
        <f ca="1">BAmount(File0,"Gr="&amp;$A8)</f>
        <v>0</v>
      </c>
      <c r="E8" s="62">
        <f ca="1">BAmount(File0,"Gr="&amp;$A8,$A$5)</f>
        <v>0</v>
      </c>
    </row>
    <row r="9" spans="1:5" ht="18" customHeight="1">
      <c r="B9" s="42" t="s">
        <v>47</v>
      </c>
      <c r="C9" s="42" t="s">
        <v>48</v>
      </c>
      <c r="D9" s="62">
        <f ca="1">BAmount(File0,"Gr="&amp;$A9)</f>
        <v>0</v>
      </c>
      <c r="E9" s="62">
        <f ca="1">BAmount(File0,"Gr="&amp;$A9,$A$5)</f>
        <v>0</v>
      </c>
    </row>
    <row r="10" spans="1:5" ht="18" customHeight="1">
      <c r="B10" s="42" t="s">
        <v>49</v>
      </c>
      <c r="C10" s="42" t="s">
        <v>50</v>
      </c>
      <c r="D10" s="62">
        <f ca="1">BAmount(File0,"Gr="&amp;$A10)</f>
        <v>0</v>
      </c>
      <c r="E10" s="62">
        <f ca="1">BAmount(File0,"Gr="&amp;$A10,$A$5)</f>
        <v>0</v>
      </c>
    </row>
    <row r="11" spans="1:5" ht="18" customHeight="1">
      <c r="B11" s="42" t="s">
        <v>51</v>
      </c>
      <c r="C11" s="42" t="s">
        <v>52</v>
      </c>
      <c r="D11" s="62">
        <f ca="1">BAmount(File0,"Gr="&amp;$A11)</f>
        <v>0</v>
      </c>
      <c r="E11" s="62">
        <f ca="1">BAmount(File0,"Gr="&amp;$A11,$A$5)</f>
        <v>0</v>
      </c>
    </row>
    <row r="12" spans="1:5" ht="18" customHeight="1">
      <c r="B12" s="42" t="s">
        <v>53</v>
      </c>
      <c r="C12" s="42" t="s">
        <v>54</v>
      </c>
      <c r="D12" s="62">
        <f ca="1">BAmount(File0,"Gr="&amp;$A12)</f>
        <v>0</v>
      </c>
      <c r="E12" s="62">
        <f ca="1">BAmount(File0,"Gr="&amp;$A12,$A$5)</f>
        <v>0</v>
      </c>
    </row>
    <row r="13" spans="1:5" ht="18" customHeight="1">
      <c r="B13" s="42" t="s">
        <v>55</v>
      </c>
      <c r="C13" s="42" t="s">
        <v>56</v>
      </c>
      <c r="D13" s="62">
        <f ca="1">BAmount(File0,"Gr="&amp;$A13)</f>
        <v>0</v>
      </c>
      <c r="E13" s="62">
        <f ca="1">BAmount(File0,"Gr="&amp;$A13,$A$5)</f>
        <v>0</v>
      </c>
    </row>
    <row r="14" spans="1:5" ht="18" customHeight="1">
      <c r="B14" s="42" t="s">
        <v>57</v>
      </c>
      <c r="C14" s="42" t="s">
        <v>58</v>
      </c>
      <c r="D14" s="62">
        <f ca="1">BAmount(File0,"Gr="&amp;$A14)</f>
        <v>0</v>
      </c>
      <c r="E14" s="62">
        <f ca="1">BAmount(File0,"Gr="&amp;$A14,$A$5)</f>
        <v>0</v>
      </c>
    </row>
    <row r="15" spans="1:5" ht="18" customHeight="1">
      <c r="B15" s="42" t="s">
        <v>59</v>
      </c>
      <c r="C15" s="42" t="s">
        <v>60</v>
      </c>
      <c r="D15" s="62">
        <f ca="1">BAmount(File0,"Gr="&amp;$A15)</f>
        <v>0</v>
      </c>
      <c r="E15" s="62">
        <f ca="1">BAmount(File0,"Gr="&amp;$A15,$A$5)</f>
        <v>0</v>
      </c>
    </row>
    <row r="16" spans="1:5" ht="18" customHeight="1">
      <c r="B16" s="42" t="s">
        <v>61</v>
      </c>
      <c r="C16" s="42" t="s">
        <v>62</v>
      </c>
      <c r="D16" s="62">
        <f ca="1">BAmount(File0,"Gr="&amp;$A16)</f>
        <v>0</v>
      </c>
      <c r="E16" s="62">
        <f ca="1">BAmount(File0,"Gr="&amp;$A16,$A$5)</f>
        <v>0</v>
      </c>
    </row>
    <row r="17" spans="2:5" ht="18" customHeight="1">
      <c r="B17" s="42" t="s">
        <v>63</v>
      </c>
      <c r="C17" s="42" t="s">
        <v>64</v>
      </c>
      <c r="D17" s="62">
        <f ca="1">BAmount(File0,"Gr="&amp;$A17)</f>
        <v>0</v>
      </c>
      <c r="E17" s="62">
        <f ca="1">BAmount(File0,"Gr="&amp;$A17,$A$5)</f>
        <v>0</v>
      </c>
    </row>
    <row r="18" spans="2:5" ht="18" customHeight="1">
      <c r="B18" s="42" t="s">
        <v>65</v>
      </c>
      <c r="C18" s="42" t="s">
        <v>66</v>
      </c>
      <c r="D18" s="62">
        <f ca="1">BAmount(File0,"Gr="&amp;$A18)</f>
        <v>0</v>
      </c>
      <c r="E18" s="62">
        <f ca="1">BAmount(File0,"Gr="&amp;$A18,$A$5)</f>
        <v>0</v>
      </c>
    </row>
    <row r="19" spans="2:5" ht="18" customHeight="1">
      <c r="B19" s="42" t="s">
        <v>67</v>
      </c>
      <c r="C19" s="42" t="s">
        <v>68</v>
      </c>
      <c r="D19" s="62">
        <f ca="1">BAmount(File0,"Gr="&amp;$A19)</f>
        <v>0</v>
      </c>
      <c r="E19" s="62">
        <f ca="1">BAmount(File0,"Gr="&amp;$A19,$A$5)</f>
        <v>0</v>
      </c>
    </row>
    <row r="20" spans="2:5" ht="18" customHeight="1">
      <c r="B20" s="42" t="s">
        <v>69</v>
      </c>
      <c r="C20" s="42" t="s">
        <v>70</v>
      </c>
      <c r="D20" s="62">
        <f ca="1">BAmount(File0,"Gr="&amp;$A20)</f>
        <v>0</v>
      </c>
      <c r="E20" s="62">
        <f ca="1">BAmount(File0,"Gr="&amp;$A20,$A$5)</f>
        <v>0</v>
      </c>
    </row>
    <row r="21" spans="2:5" ht="18" customHeight="1">
      <c r="B21" s="42" t="s">
        <v>71</v>
      </c>
      <c r="C21" s="42" t="s">
        <v>72</v>
      </c>
      <c r="D21" s="62">
        <f ca="1">BAmount(File0,"Gr="&amp;$A21)</f>
        <v>0</v>
      </c>
      <c r="E21" s="62">
        <f ca="1">BAmount(File0,"Gr="&amp;$A21,$A$5)</f>
        <v>0</v>
      </c>
    </row>
    <row r="22" spans="2:5" ht="18" customHeight="1">
      <c r="B22" s="42" t="s">
        <v>73</v>
      </c>
      <c r="C22" s="42" t="s">
        <v>74</v>
      </c>
      <c r="D22" s="62">
        <f ca="1">BAmount(File0,"Gr="&amp;$A22)</f>
        <v>0</v>
      </c>
      <c r="E22" s="62">
        <f ca="1">BAmount(File0,"Gr="&amp;$A22,$A$5)</f>
        <v>0</v>
      </c>
    </row>
    <row r="23" spans="2:5" ht="18" customHeight="1">
      <c r="B23" s="42" t="s">
        <v>75</v>
      </c>
      <c r="C23" s="42" t="s">
        <v>76</v>
      </c>
      <c r="D23" s="62">
        <f ca="1">BAmount(File0,"Gr="&amp;$A23)</f>
        <v>0</v>
      </c>
      <c r="E23" s="62">
        <f ca="1">BAmount(File0,"Gr="&amp;$A23,$A$5)</f>
        <v>0</v>
      </c>
    </row>
    <row r="24" spans="2:5" ht="18" customHeight="1">
      <c r="B24" s="42" t="s">
        <v>77</v>
      </c>
      <c r="C24" s="42" t="s">
        <v>78</v>
      </c>
      <c r="D24" s="62">
        <f ca="1">BAmount(File0,"Gr="&amp;$A24)</f>
        <v>0</v>
      </c>
      <c r="E24" s="62">
        <f ca="1">BAmount(File0,"Gr="&amp;$A24,$A$5)</f>
        <v>0</v>
      </c>
    </row>
    <row r="25" spans="2:5" ht="18" customHeight="1">
      <c r="B25" s="42" t="s">
        <v>79</v>
      </c>
      <c r="C25" s="42" t="s">
        <v>80</v>
      </c>
      <c r="D25" s="62">
        <f ca="1">BAmount(File0,"Gr="&amp;$A25)</f>
        <v>0</v>
      </c>
      <c r="E25" s="62">
        <f ca="1">BAmount(File0,"Gr="&amp;$A25,$A$5)</f>
        <v>0</v>
      </c>
    </row>
    <row r="26" spans="2:5" ht="18" customHeight="1">
      <c r="B26" s="42" t="s">
        <v>81</v>
      </c>
      <c r="C26" s="42" t="s">
        <v>82</v>
      </c>
      <c r="D26" s="62">
        <f ca="1">BAmount(File0,"Gr="&amp;$A26)</f>
        <v>0</v>
      </c>
      <c r="E26" s="62">
        <f ca="1">BAmount(File0,"Gr="&amp;$A26,$A$5)</f>
        <v>0</v>
      </c>
    </row>
    <row r="27" spans="2:5" ht="18" customHeight="1">
      <c r="B27" s="42" t="s">
        <v>83</v>
      </c>
      <c r="C27" s="42" t="s">
        <v>84</v>
      </c>
      <c r="D27" s="44">
        <f ca="1">sheet0_f_h1l2-sheet0_f_h2l2-sheet0_f_h3l2-sheet0_f_h11l2-sheet0_f_h14l2-sheet0_f_h18l2+sheet0_f_h20l2</f>
        <v>7000</v>
      </c>
      <c r="E27" s="44">
        <f ca="1">sheet0_f_h1l3-sheet0_f_h2l3-sheet0_f_h3l3-sheet0_f_h11l3-sheet0_f_h14l3-sheet0_f_h18l3+sheet0_f_h20l3</f>
        <v>5000</v>
      </c>
    </row>
    <row r="28" spans="2:5" ht="18" customHeight="1">
      <c r="B28" s="42" t="s">
        <v>85</v>
      </c>
      <c r="C28" s="42" t="s">
        <v>86</v>
      </c>
      <c r="D28" s="62">
        <f ca="1">BAmount(File0,"Gr="&amp;$A28)</f>
        <v>0</v>
      </c>
      <c r="E28" s="62">
        <f ca="1">BAmount(File0,"Gr="&amp;$A28,$A$5)</f>
        <v>0</v>
      </c>
    </row>
    <row r="29" spans="2:5" ht="18" customHeight="1">
      <c r="B29" s="42" t="s">
        <v>87</v>
      </c>
      <c r="C29" s="42" t="s">
        <v>88</v>
      </c>
      <c r="D29" s="62">
        <f ca="1">BAmount(File0,"Gr="&amp;$A29)</f>
        <v>0</v>
      </c>
      <c r="E29" s="62">
        <f ca="1">BAmount(File0,"Gr="&amp;$A29,$A$5)</f>
        <v>0</v>
      </c>
    </row>
    <row r="30" spans="2:5" ht="18" customHeight="1">
      <c r="B30" s="42" t="s">
        <v>89</v>
      </c>
      <c r="C30" s="42" t="s">
        <v>90</v>
      </c>
      <c r="D30" s="62">
        <f ca="1">BAmount(File0,"Gr="&amp;$A30)</f>
        <v>0</v>
      </c>
      <c r="E30" s="62">
        <f ca="1">BAmount(File0,"Gr="&amp;$A30,$A$5)</f>
        <v>0</v>
      </c>
    </row>
    <row r="31" spans="2:5" ht="18" customHeight="1">
      <c r="B31" s="42" t="s">
        <v>91</v>
      </c>
      <c r="C31" s="42" t="s">
        <v>92</v>
      </c>
      <c r="D31" s="62">
        <f ca="1">BAmount(File0,"Gr="&amp;$A31)</f>
        <v>0</v>
      </c>
      <c r="E31" s="62">
        <f ca="1">BAmount(File0,"Gr="&amp;$A31,$A$5)</f>
        <v>0</v>
      </c>
    </row>
    <row r="32" spans="2:5" ht="18" customHeight="1">
      <c r="B32" s="42" t="s">
        <v>93</v>
      </c>
      <c r="C32" s="42" t="s">
        <v>94</v>
      </c>
      <c r="D32" s="62">
        <f ca="1">BAmount(File0,"Gr="&amp;$A32)</f>
        <v>0</v>
      </c>
      <c r="E32" s="62">
        <f ca="1">BAmount(File0,"Gr="&amp;$A32,$A$5)</f>
        <v>0</v>
      </c>
    </row>
    <row r="33" spans="2:5" ht="18" customHeight="1">
      <c r="B33" s="42" t="s">
        <v>95</v>
      </c>
      <c r="C33" s="42" t="s">
        <v>96</v>
      </c>
      <c r="D33" s="62">
        <f ca="1">BAmount(File0,"Gr="&amp;$A33)</f>
        <v>0</v>
      </c>
      <c r="E33" s="62">
        <f ca="1">BAmount(File0,"Gr="&amp;$A33,$A$5)</f>
        <v>0</v>
      </c>
    </row>
    <row r="34" spans="2:5" ht="18" customHeight="1">
      <c r="B34" s="42" t="s">
        <v>97</v>
      </c>
      <c r="C34" s="42" t="s">
        <v>98</v>
      </c>
      <c r="D34" s="62">
        <f ca="1">BAmount(File0,"Gr="&amp;$A34)</f>
        <v>0</v>
      </c>
      <c r="E34" s="62">
        <f ca="1">BAmount(File0,"Gr="&amp;$A34,$A$5)</f>
        <v>0</v>
      </c>
    </row>
    <row r="35" spans="2:5" ht="18" customHeight="1">
      <c r="B35" s="42" t="s">
        <v>99</v>
      </c>
      <c r="C35" s="42" t="s">
        <v>100</v>
      </c>
      <c r="D35" s="62">
        <f ca="1">BAmount(File0,"Gr="&amp;$A35)</f>
        <v>0</v>
      </c>
      <c r="E35" s="62">
        <f ca="1">BAmount(File0,"Gr="&amp;$A35,$A$5)</f>
        <v>0</v>
      </c>
    </row>
    <row r="36" spans="2:5" ht="14.25">
      <c r="B36" s="42" t="s">
        <v>101</v>
      </c>
      <c r="C36" s="42" t="s">
        <v>102</v>
      </c>
      <c r="D36" s="44">
        <f ca="1">sheet0_f_h21l2+sheet0_f_h22l2-sheet0_f_h24l2</f>
        <v>7000</v>
      </c>
      <c r="E36" s="44">
        <f ca="1">sheet0_f_h21l3+sheet0_f_h22l3-sheet0_f_h24l3</f>
        <v>5000</v>
      </c>
    </row>
    <row r="37" spans="2:5" ht="14.25">
      <c r="B37" s="42" t="s">
        <v>103</v>
      </c>
      <c r="C37" s="42" t="s">
        <v>104</v>
      </c>
      <c r="D37" s="62">
        <f ca="1">BAmount(File0,"Gr="&amp;$A37)</f>
        <v>0</v>
      </c>
      <c r="E37" s="62">
        <f ca="1">BAmount(File0,"Gr="&amp;$A37,$A$5)</f>
        <v>0</v>
      </c>
    </row>
    <row r="38" spans="2:5" ht="14.25">
      <c r="B38" s="42" t="s">
        <v>105</v>
      </c>
      <c r="C38" s="42" t="s">
        <v>106</v>
      </c>
      <c r="D38" s="44">
        <f ca="1">sheet0_f_h30l2-sheet0_f_h31l2</f>
        <v>7000</v>
      </c>
      <c r="E38" s="44">
        <f ca="1">sheet0_f_h30l3-sheet0_f_h31l3</f>
        <v>5000</v>
      </c>
    </row>
    <row r="39" spans="2:5" ht="14.25">
      <c r="B39" s="45"/>
      <c r="C39" s="45"/>
      <c r="D39" s="45"/>
      <c r="E39" s="45"/>
    </row>
    <row r="67" spans="2:2" ht="14.25">
      <c r="B67" s="42" t="s">
        <v>107</v>
      </c>
    </row>
  </sheetData>
  <mergeCells count="4">
    <mergeCell ref="B3:E3"/>
    <mergeCell ref="B4:C4"/>
    <mergeCell ref="D4:E4"/>
    <mergeCell ref="C5:D5"/>
  </mergeCells>
  <pageMargins left="0.78740157480314965" right="0.78740157480314965" top="0.98425196850393704" bottom="0.98425196850393704" header="0.51181102362204722" footer="0.51181102362204722"/>
  <pageSetup scale="94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1"/>
  <sheetViews>
    <sheetView workbookViewId="0">
      <selection activeCell="A13" sqref="A13"/>
    </sheetView>
  </sheetViews>
  <sheetFormatPr baseColWidth="10" defaultColWidth="25.7109375" defaultRowHeight="14.45" customHeight="1"/>
  <cols>
    <col min="1" max="1" width="60.42578125" style="59" customWidth="1"/>
    <col min="2" max="2" width="20.42578125" style="59" customWidth="1"/>
    <col min="3" max="3" width="10.42578125" style="59" customWidth="1"/>
    <col min="4" max="4" width="11.85546875" style="59" customWidth="1"/>
    <col min="5" max="5" width="9.5703125" style="59" customWidth="1"/>
    <col min="6" max="6" width="12.5703125" style="59" customWidth="1"/>
    <col min="7" max="7" width="16.85546875" style="59" customWidth="1"/>
    <col min="8" max="8" width="19.5703125" style="59" customWidth="1"/>
    <col min="9" max="9" width="9.85546875" style="59" customWidth="1"/>
    <col min="10" max="10" width="13.140625" style="59" customWidth="1"/>
    <col min="11" max="11" width="11.140625" style="59" customWidth="1"/>
    <col min="12" max="12" width="13" style="59" customWidth="1"/>
    <col min="13" max="13" width="16.5703125" style="59" customWidth="1"/>
    <col min="14" max="256" width="25.7109375" style="59"/>
    <col min="257" max="257" width="60.42578125" style="59" customWidth="1"/>
    <col min="258" max="258" width="20.42578125" style="59" customWidth="1"/>
    <col min="259" max="259" width="10.42578125" style="59" customWidth="1"/>
    <col min="260" max="260" width="11.85546875" style="59" customWidth="1"/>
    <col min="261" max="261" width="9.5703125" style="59" customWidth="1"/>
    <col min="262" max="262" width="12.5703125" style="59" customWidth="1"/>
    <col min="263" max="263" width="16.85546875" style="59" customWidth="1"/>
    <col min="264" max="264" width="19.5703125" style="59" customWidth="1"/>
    <col min="265" max="265" width="9.85546875" style="59" customWidth="1"/>
    <col min="266" max="266" width="13.140625" style="59" customWidth="1"/>
    <col min="267" max="267" width="11.140625" style="59" customWidth="1"/>
    <col min="268" max="268" width="13" style="59" customWidth="1"/>
    <col min="269" max="269" width="16.5703125" style="59" customWidth="1"/>
    <col min="270" max="512" width="25.7109375" style="59"/>
    <col min="513" max="513" width="60.42578125" style="59" customWidth="1"/>
    <col min="514" max="514" width="20.42578125" style="59" customWidth="1"/>
    <col min="515" max="515" width="10.42578125" style="59" customWidth="1"/>
    <col min="516" max="516" width="11.85546875" style="59" customWidth="1"/>
    <col min="517" max="517" width="9.5703125" style="59" customWidth="1"/>
    <col min="518" max="518" width="12.5703125" style="59" customWidth="1"/>
    <col min="519" max="519" width="16.85546875" style="59" customWidth="1"/>
    <col min="520" max="520" width="19.5703125" style="59" customWidth="1"/>
    <col min="521" max="521" width="9.85546875" style="59" customWidth="1"/>
    <col min="522" max="522" width="13.140625" style="59" customWidth="1"/>
    <col min="523" max="523" width="11.140625" style="59" customWidth="1"/>
    <col min="524" max="524" width="13" style="59" customWidth="1"/>
    <col min="525" max="525" width="16.5703125" style="59" customWidth="1"/>
    <col min="526" max="768" width="25.7109375" style="59"/>
    <col min="769" max="769" width="60.42578125" style="59" customWidth="1"/>
    <col min="770" max="770" width="20.42578125" style="59" customWidth="1"/>
    <col min="771" max="771" width="10.42578125" style="59" customWidth="1"/>
    <col min="772" max="772" width="11.85546875" style="59" customWidth="1"/>
    <col min="773" max="773" width="9.5703125" style="59" customWidth="1"/>
    <col min="774" max="774" width="12.5703125" style="59" customWidth="1"/>
    <col min="775" max="775" width="16.85546875" style="59" customWidth="1"/>
    <col min="776" max="776" width="19.5703125" style="59" customWidth="1"/>
    <col min="777" max="777" width="9.85546875" style="59" customWidth="1"/>
    <col min="778" max="778" width="13.140625" style="59" customWidth="1"/>
    <col min="779" max="779" width="11.140625" style="59" customWidth="1"/>
    <col min="780" max="780" width="13" style="59" customWidth="1"/>
    <col min="781" max="781" width="16.5703125" style="59" customWidth="1"/>
    <col min="782" max="1024" width="25.7109375" style="59"/>
    <col min="1025" max="1025" width="60.42578125" style="59" customWidth="1"/>
    <col min="1026" max="1026" width="20.42578125" style="59" customWidth="1"/>
    <col min="1027" max="1027" width="10.42578125" style="59" customWidth="1"/>
    <col min="1028" max="1028" width="11.85546875" style="59" customWidth="1"/>
    <col min="1029" max="1029" width="9.5703125" style="59" customWidth="1"/>
    <col min="1030" max="1030" width="12.5703125" style="59" customWidth="1"/>
    <col min="1031" max="1031" width="16.85546875" style="59" customWidth="1"/>
    <col min="1032" max="1032" width="19.5703125" style="59" customWidth="1"/>
    <col min="1033" max="1033" width="9.85546875" style="59" customWidth="1"/>
    <col min="1034" max="1034" width="13.140625" style="59" customWidth="1"/>
    <col min="1035" max="1035" width="11.140625" style="59" customWidth="1"/>
    <col min="1036" max="1036" width="13" style="59" customWidth="1"/>
    <col min="1037" max="1037" width="16.5703125" style="59" customWidth="1"/>
    <col min="1038" max="1280" width="25.7109375" style="59"/>
    <col min="1281" max="1281" width="60.42578125" style="59" customWidth="1"/>
    <col min="1282" max="1282" width="20.42578125" style="59" customWidth="1"/>
    <col min="1283" max="1283" width="10.42578125" style="59" customWidth="1"/>
    <col min="1284" max="1284" width="11.85546875" style="59" customWidth="1"/>
    <col min="1285" max="1285" width="9.5703125" style="59" customWidth="1"/>
    <col min="1286" max="1286" width="12.5703125" style="59" customWidth="1"/>
    <col min="1287" max="1287" width="16.85546875" style="59" customWidth="1"/>
    <col min="1288" max="1288" width="19.5703125" style="59" customWidth="1"/>
    <col min="1289" max="1289" width="9.85546875" style="59" customWidth="1"/>
    <col min="1290" max="1290" width="13.140625" style="59" customWidth="1"/>
    <col min="1291" max="1291" width="11.140625" style="59" customWidth="1"/>
    <col min="1292" max="1292" width="13" style="59" customWidth="1"/>
    <col min="1293" max="1293" width="16.5703125" style="59" customWidth="1"/>
    <col min="1294" max="1536" width="25.7109375" style="59"/>
    <col min="1537" max="1537" width="60.42578125" style="59" customWidth="1"/>
    <col min="1538" max="1538" width="20.42578125" style="59" customWidth="1"/>
    <col min="1539" max="1539" width="10.42578125" style="59" customWidth="1"/>
    <col min="1540" max="1540" width="11.85546875" style="59" customWidth="1"/>
    <col min="1541" max="1541" width="9.5703125" style="59" customWidth="1"/>
    <col min="1542" max="1542" width="12.5703125" style="59" customWidth="1"/>
    <col min="1543" max="1543" width="16.85546875" style="59" customWidth="1"/>
    <col min="1544" max="1544" width="19.5703125" style="59" customWidth="1"/>
    <col min="1545" max="1545" width="9.85546875" style="59" customWidth="1"/>
    <col min="1546" max="1546" width="13.140625" style="59" customWidth="1"/>
    <col min="1547" max="1547" width="11.140625" style="59" customWidth="1"/>
    <col min="1548" max="1548" width="13" style="59" customWidth="1"/>
    <col min="1549" max="1549" width="16.5703125" style="59" customWidth="1"/>
    <col min="1550" max="1792" width="25.7109375" style="59"/>
    <col min="1793" max="1793" width="60.42578125" style="59" customWidth="1"/>
    <col min="1794" max="1794" width="20.42578125" style="59" customWidth="1"/>
    <col min="1795" max="1795" width="10.42578125" style="59" customWidth="1"/>
    <col min="1796" max="1796" width="11.85546875" style="59" customWidth="1"/>
    <col min="1797" max="1797" width="9.5703125" style="59" customWidth="1"/>
    <col min="1798" max="1798" width="12.5703125" style="59" customWidth="1"/>
    <col min="1799" max="1799" width="16.85546875" style="59" customWidth="1"/>
    <col min="1800" max="1800" width="19.5703125" style="59" customWidth="1"/>
    <col min="1801" max="1801" width="9.85546875" style="59" customWidth="1"/>
    <col min="1802" max="1802" width="13.140625" style="59" customWidth="1"/>
    <col min="1803" max="1803" width="11.140625" style="59" customWidth="1"/>
    <col min="1804" max="1804" width="13" style="59" customWidth="1"/>
    <col min="1805" max="1805" width="16.5703125" style="59" customWidth="1"/>
    <col min="1806" max="2048" width="25.7109375" style="59"/>
    <col min="2049" max="2049" width="60.42578125" style="59" customWidth="1"/>
    <col min="2050" max="2050" width="20.42578125" style="59" customWidth="1"/>
    <col min="2051" max="2051" width="10.42578125" style="59" customWidth="1"/>
    <col min="2052" max="2052" width="11.85546875" style="59" customWidth="1"/>
    <col min="2053" max="2053" width="9.5703125" style="59" customWidth="1"/>
    <col min="2054" max="2054" width="12.5703125" style="59" customWidth="1"/>
    <col min="2055" max="2055" width="16.85546875" style="59" customWidth="1"/>
    <col min="2056" max="2056" width="19.5703125" style="59" customWidth="1"/>
    <col min="2057" max="2057" width="9.85546875" style="59" customWidth="1"/>
    <col min="2058" max="2058" width="13.140625" style="59" customWidth="1"/>
    <col min="2059" max="2059" width="11.140625" style="59" customWidth="1"/>
    <col min="2060" max="2060" width="13" style="59" customWidth="1"/>
    <col min="2061" max="2061" width="16.5703125" style="59" customWidth="1"/>
    <col min="2062" max="2304" width="25.7109375" style="59"/>
    <col min="2305" max="2305" width="60.42578125" style="59" customWidth="1"/>
    <col min="2306" max="2306" width="20.42578125" style="59" customWidth="1"/>
    <col min="2307" max="2307" width="10.42578125" style="59" customWidth="1"/>
    <col min="2308" max="2308" width="11.85546875" style="59" customWidth="1"/>
    <col min="2309" max="2309" width="9.5703125" style="59" customWidth="1"/>
    <col min="2310" max="2310" width="12.5703125" style="59" customWidth="1"/>
    <col min="2311" max="2311" width="16.85546875" style="59" customWidth="1"/>
    <col min="2312" max="2312" width="19.5703125" style="59" customWidth="1"/>
    <col min="2313" max="2313" width="9.85546875" style="59" customWidth="1"/>
    <col min="2314" max="2314" width="13.140625" style="59" customWidth="1"/>
    <col min="2315" max="2315" width="11.140625" style="59" customWidth="1"/>
    <col min="2316" max="2316" width="13" style="59" customWidth="1"/>
    <col min="2317" max="2317" width="16.5703125" style="59" customWidth="1"/>
    <col min="2318" max="2560" width="25.7109375" style="59"/>
    <col min="2561" max="2561" width="60.42578125" style="59" customWidth="1"/>
    <col min="2562" max="2562" width="20.42578125" style="59" customWidth="1"/>
    <col min="2563" max="2563" width="10.42578125" style="59" customWidth="1"/>
    <col min="2564" max="2564" width="11.85546875" style="59" customWidth="1"/>
    <col min="2565" max="2565" width="9.5703125" style="59" customWidth="1"/>
    <col min="2566" max="2566" width="12.5703125" style="59" customWidth="1"/>
    <col min="2567" max="2567" width="16.85546875" style="59" customWidth="1"/>
    <col min="2568" max="2568" width="19.5703125" style="59" customWidth="1"/>
    <col min="2569" max="2569" width="9.85546875" style="59" customWidth="1"/>
    <col min="2570" max="2570" width="13.140625" style="59" customWidth="1"/>
    <col min="2571" max="2571" width="11.140625" style="59" customWidth="1"/>
    <col min="2572" max="2572" width="13" style="59" customWidth="1"/>
    <col min="2573" max="2573" width="16.5703125" style="59" customWidth="1"/>
    <col min="2574" max="2816" width="25.7109375" style="59"/>
    <col min="2817" max="2817" width="60.42578125" style="59" customWidth="1"/>
    <col min="2818" max="2818" width="20.42578125" style="59" customWidth="1"/>
    <col min="2819" max="2819" width="10.42578125" style="59" customWidth="1"/>
    <col min="2820" max="2820" width="11.85546875" style="59" customWidth="1"/>
    <col min="2821" max="2821" width="9.5703125" style="59" customWidth="1"/>
    <col min="2822" max="2822" width="12.5703125" style="59" customWidth="1"/>
    <col min="2823" max="2823" width="16.85546875" style="59" customWidth="1"/>
    <col min="2824" max="2824" width="19.5703125" style="59" customWidth="1"/>
    <col min="2825" max="2825" width="9.85546875" style="59" customWidth="1"/>
    <col min="2826" max="2826" width="13.140625" style="59" customWidth="1"/>
    <col min="2827" max="2827" width="11.140625" style="59" customWidth="1"/>
    <col min="2828" max="2828" width="13" style="59" customWidth="1"/>
    <col min="2829" max="2829" width="16.5703125" style="59" customWidth="1"/>
    <col min="2830" max="3072" width="25.7109375" style="59"/>
    <col min="3073" max="3073" width="60.42578125" style="59" customWidth="1"/>
    <col min="3074" max="3074" width="20.42578125" style="59" customWidth="1"/>
    <col min="3075" max="3075" width="10.42578125" style="59" customWidth="1"/>
    <col min="3076" max="3076" width="11.85546875" style="59" customWidth="1"/>
    <col min="3077" max="3077" width="9.5703125" style="59" customWidth="1"/>
    <col min="3078" max="3078" width="12.5703125" style="59" customWidth="1"/>
    <col min="3079" max="3079" width="16.85546875" style="59" customWidth="1"/>
    <col min="3080" max="3080" width="19.5703125" style="59" customWidth="1"/>
    <col min="3081" max="3081" width="9.85546875" style="59" customWidth="1"/>
    <col min="3082" max="3082" width="13.140625" style="59" customWidth="1"/>
    <col min="3083" max="3083" width="11.140625" style="59" customWidth="1"/>
    <col min="3084" max="3084" width="13" style="59" customWidth="1"/>
    <col min="3085" max="3085" width="16.5703125" style="59" customWidth="1"/>
    <col min="3086" max="3328" width="25.7109375" style="59"/>
    <col min="3329" max="3329" width="60.42578125" style="59" customWidth="1"/>
    <col min="3330" max="3330" width="20.42578125" style="59" customWidth="1"/>
    <col min="3331" max="3331" width="10.42578125" style="59" customWidth="1"/>
    <col min="3332" max="3332" width="11.85546875" style="59" customWidth="1"/>
    <col min="3333" max="3333" width="9.5703125" style="59" customWidth="1"/>
    <col min="3334" max="3334" width="12.5703125" style="59" customWidth="1"/>
    <col min="3335" max="3335" width="16.85546875" style="59" customWidth="1"/>
    <col min="3336" max="3336" width="19.5703125" style="59" customWidth="1"/>
    <col min="3337" max="3337" width="9.85546875" style="59" customWidth="1"/>
    <col min="3338" max="3338" width="13.140625" style="59" customWidth="1"/>
    <col min="3339" max="3339" width="11.140625" style="59" customWidth="1"/>
    <col min="3340" max="3340" width="13" style="59" customWidth="1"/>
    <col min="3341" max="3341" width="16.5703125" style="59" customWidth="1"/>
    <col min="3342" max="3584" width="25.7109375" style="59"/>
    <col min="3585" max="3585" width="60.42578125" style="59" customWidth="1"/>
    <col min="3586" max="3586" width="20.42578125" style="59" customWidth="1"/>
    <col min="3587" max="3587" width="10.42578125" style="59" customWidth="1"/>
    <col min="3588" max="3588" width="11.85546875" style="59" customWidth="1"/>
    <col min="3589" max="3589" width="9.5703125" style="59" customWidth="1"/>
    <col min="3590" max="3590" width="12.5703125" style="59" customWidth="1"/>
    <col min="3591" max="3591" width="16.85546875" style="59" customWidth="1"/>
    <col min="3592" max="3592" width="19.5703125" style="59" customWidth="1"/>
    <col min="3593" max="3593" width="9.85546875" style="59" customWidth="1"/>
    <col min="3594" max="3594" width="13.140625" style="59" customWidth="1"/>
    <col min="3595" max="3595" width="11.140625" style="59" customWidth="1"/>
    <col min="3596" max="3596" width="13" style="59" customWidth="1"/>
    <col min="3597" max="3597" width="16.5703125" style="59" customWidth="1"/>
    <col min="3598" max="3840" width="25.7109375" style="59"/>
    <col min="3841" max="3841" width="60.42578125" style="59" customWidth="1"/>
    <col min="3842" max="3842" width="20.42578125" style="59" customWidth="1"/>
    <col min="3843" max="3843" width="10.42578125" style="59" customWidth="1"/>
    <col min="3844" max="3844" width="11.85546875" style="59" customWidth="1"/>
    <col min="3845" max="3845" width="9.5703125" style="59" customWidth="1"/>
    <col min="3846" max="3846" width="12.5703125" style="59" customWidth="1"/>
    <col min="3847" max="3847" width="16.85546875" style="59" customWidth="1"/>
    <col min="3848" max="3848" width="19.5703125" style="59" customWidth="1"/>
    <col min="3849" max="3849" width="9.85546875" style="59" customWidth="1"/>
    <col min="3850" max="3850" width="13.140625" style="59" customWidth="1"/>
    <col min="3851" max="3851" width="11.140625" style="59" customWidth="1"/>
    <col min="3852" max="3852" width="13" style="59" customWidth="1"/>
    <col min="3853" max="3853" width="16.5703125" style="59" customWidth="1"/>
    <col min="3854" max="4096" width="25.7109375" style="59"/>
    <col min="4097" max="4097" width="60.42578125" style="59" customWidth="1"/>
    <col min="4098" max="4098" width="20.42578125" style="59" customWidth="1"/>
    <col min="4099" max="4099" width="10.42578125" style="59" customWidth="1"/>
    <col min="4100" max="4100" width="11.85546875" style="59" customWidth="1"/>
    <col min="4101" max="4101" width="9.5703125" style="59" customWidth="1"/>
    <col min="4102" max="4102" width="12.5703125" style="59" customWidth="1"/>
    <col min="4103" max="4103" width="16.85546875" style="59" customWidth="1"/>
    <col min="4104" max="4104" width="19.5703125" style="59" customWidth="1"/>
    <col min="4105" max="4105" width="9.85546875" style="59" customWidth="1"/>
    <col min="4106" max="4106" width="13.140625" style="59" customWidth="1"/>
    <col min="4107" max="4107" width="11.140625" style="59" customWidth="1"/>
    <col min="4108" max="4108" width="13" style="59" customWidth="1"/>
    <col min="4109" max="4109" width="16.5703125" style="59" customWidth="1"/>
    <col min="4110" max="4352" width="25.7109375" style="59"/>
    <col min="4353" max="4353" width="60.42578125" style="59" customWidth="1"/>
    <col min="4354" max="4354" width="20.42578125" style="59" customWidth="1"/>
    <col min="4355" max="4355" width="10.42578125" style="59" customWidth="1"/>
    <col min="4356" max="4356" width="11.85546875" style="59" customWidth="1"/>
    <col min="4357" max="4357" width="9.5703125" style="59" customWidth="1"/>
    <col min="4358" max="4358" width="12.5703125" style="59" customWidth="1"/>
    <col min="4359" max="4359" width="16.85546875" style="59" customWidth="1"/>
    <col min="4360" max="4360" width="19.5703125" style="59" customWidth="1"/>
    <col min="4361" max="4361" width="9.85546875" style="59" customWidth="1"/>
    <col min="4362" max="4362" width="13.140625" style="59" customWidth="1"/>
    <col min="4363" max="4363" width="11.140625" style="59" customWidth="1"/>
    <col min="4364" max="4364" width="13" style="59" customWidth="1"/>
    <col min="4365" max="4365" width="16.5703125" style="59" customWidth="1"/>
    <col min="4366" max="4608" width="25.7109375" style="59"/>
    <col min="4609" max="4609" width="60.42578125" style="59" customWidth="1"/>
    <col min="4610" max="4610" width="20.42578125" style="59" customWidth="1"/>
    <col min="4611" max="4611" width="10.42578125" style="59" customWidth="1"/>
    <col min="4612" max="4612" width="11.85546875" style="59" customWidth="1"/>
    <col min="4613" max="4613" width="9.5703125" style="59" customWidth="1"/>
    <col min="4614" max="4614" width="12.5703125" style="59" customWidth="1"/>
    <col min="4615" max="4615" width="16.85546875" style="59" customWidth="1"/>
    <col min="4616" max="4616" width="19.5703125" style="59" customWidth="1"/>
    <col min="4617" max="4617" width="9.85546875" style="59" customWidth="1"/>
    <col min="4618" max="4618" width="13.140625" style="59" customWidth="1"/>
    <col min="4619" max="4619" width="11.140625" style="59" customWidth="1"/>
    <col min="4620" max="4620" width="13" style="59" customWidth="1"/>
    <col min="4621" max="4621" width="16.5703125" style="59" customWidth="1"/>
    <col min="4622" max="4864" width="25.7109375" style="59"/>
    <col min="4865" max="4865" width="60.42578125" style="59" customWidth="1"/>
    <col min="4866" max="4866" width="20.42578125" style="59" customWidth="1"/>
    <col min="4867" max="4867" width="10.42578125" style="59" customWidth="1"/>
    <col min="4868" max="4868" width="11.85546875" style="59" customWidth="1"/>
    <col min="4869" max="4869" width="9.5703125" style="59" customWidth="1"/>
    <col min="4870" max="4870" width="12.5703125" style="59" customWidth="1"/>
    <col min="4871" max="4871" width="16.85546875" style="59" customWidth="1"/>
    <col min="4872" max="4872" width="19.5703125" style="59" customWidth="1"/>
    <col min="4873" max="4873" width="9.85546875" style="59" customWidth="1"/>
    <col min="4874" max="4874" width="13.140625" style="59" customWidth="1"/>
    <col min="4875" max="4875" width="11.140625" style="59" customWidth="1"/>
    <col min="4876" max="4876" width="13" style="59" customWidth="1"/>
    <col min="4877" max="4877" width="16.5703125" style="59" customWidth="1"/>
    <col min="4878" max="5120" width="25.7109375" style="59"/>
    <col min="5121" max="5121" width="60.42578125" style="59" customWidth="1"/>
    <col min="5122" max="5122" width="20.42578125" style="59" customWidth="1"/>
    <col min="5123" max="5123" width="10.42578125" style="59" customWidth="1"/>
    <col min="5124" max="5124" width="11.85546875" style="59" customWidth="1"/>
    <col min="5125" max="5125" width="9.5703125" style="59" customWidth="1"/>
    <col min="5126" max="5126" width="12.5703125" style="59" customWidth="1"/>
    <col min="5127" max="5127" width="16.85546875" style="59" customWidth="1"/>
    <col min="5128" max="5128" width="19.5703125" style="59" customWidth="1"/>
    <col min="5129" max="5129" width="9.85546875" style="59" customWidth="1"/>
    <col min="5130" max="5130" width="13.140625" style="59" customWidth="1"/>
    <col min="5131" max="5131" width="11.140625" style="59" customWidth="1"/>
    <col min="5132" max="5132" width="13" style="59" customWidth="1"/>
    <col min="5133" max="5133" width="16.5703125" style="59" customWidth="1"/>
    <col min="5134" max="5376" width="25.7109375" style="59"/>
    <col min="5377" max="5377" width="60.42578125" style="59" customWidth="1"/>
    <col min="5378" max="5378" width="20.42578125" style="59" customWidth="1"/>
    <col min="5379" max="5379" width="10.42578125" style="59" customWidth="1"/>
    <col min="5380" max="5380" width="11.85546875" style="59" customWidth="1"/>
    <col min="5381" max="5381" width="9.5703125" style="59" customWidth="1"/>
    <col min="5382" max="5382" width="12.5703125" style="59" customWidth="1"/>
    <col min="5383" max="5383" width="16.85546875" style="59" customWidth="1"/>
    <col min="5384" max="5384" width="19.5703125" style="59" customWidth="1"/>
    <col min="5385" max="5385" width="9.85546875" style="59" customWidth="1"/>
    <col min="5386" max="5386" width="13.140625" style="59" customWidth="1"/>
    <col min="5387" max="5387" width="11.140625" style="59" customWidth="1"/>
    <col min="5388" max="5388" width="13" style="59" customWidth="1"/>
    <col min="5389" max="5389" width="16.5703125" style="59" customWidth="1"/>
    <col min="5390" max="5632" width="25.7109375" style="59"/>
    <col min="5633" max="5633" width="60.42578125" style="59" customWidth="1"/>
    <col min="5634" max="5634" width="20.42578125" style="59" customWidth="1"/>
    <col min="5635" max="5635" width="10.42578125" style="59" customWidth="1"/>
    <col min="5636" max="5636" width="11.85546875" style="59" customWidth="1"/>
    <col min="5637" max="5637" width="9.5703125" style="59" customWidth="1"/>
    <col min="5638" max="5638" width="12.5703125" style="59" customWidth="1"/>
    <col min="5639" max="5639" width="16.85546875" style="59" customWidth="1"/>
    <col min="5640" max="5640" width="19.5703125" style="59" customWidth="1"/>
    <col min="5641" max="5641" width="9.85546875" style="59" customWidth="1"/>
    <col min="5642" max="5642" width="13.140625" style="59" customWidth="1"/>
    <col min="5643" max="5643" width="11.140625" style="59" customWidth="1"/>
    <col min="5644" max="5644" width="13" style="59" customWidth="1"/>
    <col min="5645" max="5645" width="16.5703125" style="59" customWidth="1"/>
    <col min="5646" max="5888" width="25.7109375" style="59"/>
    <col min="5889" max="5889" width="60.42578125" style="59" customWidth="1"/>
    <col min="5890" max="5890" width="20.42578125" style="59" customWidth="1"/>
    <col min="5891" max="5891" width="10.42578125" style="59" customWidth="1"/>
    <col min="5892" max="5892" width="11.85546875" style="59" customWidth="1"/>
    <col min="5893" max="5893" width="9.5703125" style="59" customWidth="1"/>
    <col min="5894" max="5894" width="12.5703125" style="59" customWidth="1"/>
    <col min="5895" max="5895" width="16.85546875" style="59" customWidth="1"/>
    <col min="5896" max="5896" width="19.5703125" style="59" customWidth="1"/>
    <col min="5897" max="5897" width="9.85546875" style="59" customWidth="1"/>
    <col min="5898" max="5898" width="13.140625" style="59" customWidth="1"/>
    <col min="5899" max="5899" width="11.140625" style="59" customWidth="1"/>
    <col min="5900" max="5900" width="13" style="59" customWidth="1"/>
    <col min="5901" max="5901" width="16.5703125" style="59" customWidth="1"/>
    <col min="5902" max="6144" width="25.7109375" style="59"/>
    <col min="6145" max="6145" width="60.42578125" style="59" customWidth="1"/>
    <col min="6146" max="6146" width="20.42578125" style="59" customWidth="1"/>
    <col min="6147" max="6147" width="10.42578125" style="59" customWidth="1"/>
    <col min="6148" max="6148" width="11.85546875" style="59" customWidth="1"/>
    <col min="6149" max="6149" width="9.5703125" style="59" customWidth="1"/>
    <col min="6150" max="6150" width="12.5703125" style="59" customWidth="1"/>
    <col min="6151" max="6151" width="16.85546875" style="59" customWidth="1"/>
    <col min="6152" max="6152" width="19.5703125" style="59" customWidth="1"/>
    <col min="6153" max="6153" width="9.85546875" style="59" customWidth="1"/>
    <col min="6154" max="6154" width="13.140625" style="59" customWidth="1"/>
    <col min="6155" max="6155" width="11.140625" style="59" customWidth="1"/>
    <col min="6156" max="6156" width="13" style="59" customWidth="1"/>
    <col min="6157" max="6157" width="16.5703125" style="59" customWidth="1"/>
    <col min="6158" max="6400" width="25.7109375" style="59"/>
    <col min="6401" max="6401" width="60.42578125" style="59" customWidth="1"/>
    <col min="6402" max="6402" width="20.42578125" style="59" customWidth="1"/>
    <col min="6403" max="6403" width="10.42578125" style="59" customWidth="1"/>
    <col min="6404" max="6404" width="11.85546875" style="59" customWidth="1"/>
    <col min="6405" max="6405" width="9.5703125" style="59" customWidth="1"/>
    <col min="6406" max="6406" width="12.5703125" style="59" customWidth="1"/>
    <col min="6407" max="6407" width="16.85546875" style="59" customWidth="1"/>
    <col min="6408" max="6408" width="19.5703125" style="59" customWidth="1"/>
    <col min="6409" max="6409" width="9.85546875" style="59" customWidth="1"/>
    <col min="6410" max="6410" width="13.140625" style="59" customWidth="1"/>
    <col min="6411" max="6411" width="11.140625" style="59" customWidth="1"/>
    <col min="6412" max="6412" width="13" style="59" customWidth="1"/>
    <col min="6413" max="6413" width="16.5703125" style="59" customWidth="1"/>
    <col min="6414" max="6656" width="25.7109375" style="59"/>
    <col min="6657" max="6657" width="60.42578125" style="59" customWidth="1"/>
    <col min="6658" max="6658" width="20.42578125" style="59" customWidth="1"/>
    <col min="6659" max="6659" width="10.42578125" style="59" customWidth="1"/>
    <col min="6660" max="6660" width="11.85546875" style="59" customWidth="1"/>
    <col min="6661" max="6661" width="9.5703125" style="59" customWidth="1"/>
    <col min="6662" max="6662" width="12.5703125" style="59" customWidth="1"/>
    <col min="6663" max="6663" width="16.85546875" style="59" customWidth="1"/>
    <col min="6664" max="6664" width="19.5703125" style="59" customWidth="1"/>
    <col min="6665" max="6665" width="9.85546875" style="59" customWidth="1"/>
    <col min="6666" max="6666" width="13.140625" style="59" customWidth="1"/>
    <col min="6667" max="6667" width="11.140625" style="59" customWidth="1"/>
    <col min="6668" max="6668" width="13" style="59" customWidth="1"/>
    <col min="6669" max="6669" width="16.5703125" style="59" customWidth="1"/>
    <col min="6670" max="6912" width="25.7109375" style="59"/>
    <col min="6913" max="6913" width="60.42578125" style="59" customWidth="1"/>
    <col min="6914" max="6914" width="20.42578125" style="59" customWidth="1"/>
    <col min="6915" max="6915" width="10.42578125" style="59" customWidth="1"/>
    <col min="6916" max="6916" width="11.85546875" style="59" customWidth="1"/>
    <col min="6917" max="6917" width="9.5703125" style="59" customWidth="1"/>
    <col min="6918" max="6918" width="12.5703125" style="59" customWidth="1"/>
    <col min="6919" max="6919" width="16.85546875" style="59" customWidth="1"/>
    <col min="6920" max="6920" width="19.5703125" style="59" customWidth="1"/>
    <col min="6921" max="6921" width="9.85546875" style="59" customWidth="1"/>
    <col min="6922" max="6922" width="13.140625" style="59" customWidth="1"/>
    <col min="6923" max="6923" width="11.140625" style="59" customWidth="1"/>
    <col min="6924" max="6924" width="13" style="59" customWidth="1"/>
    <col min="6925" max="6925" width="16.5703125" style="59" customWidth="1"/>
    <col min="6926" max="7168" width="25.7109375" style="59"/>
    <col min="7169" max="7169" width="60.42578125" style="59" customWidth="1"/>
    <col min="7170" max="7170" width="20.42578125" style="59" customWidth="1"/>
    <col min="7171" max="7171" width="10.42578125" style="59" customWidth="1"/>
    <col min="7172" max="7172" width="11.85546875" style="59" customWidth="1"/>
    <col min="7173" max="7173" width="9.5703125" style="59" customWidth="1"/>
    <col min="7174" max="7174" width="12.5703125" style="59" customWidth="1"/>
    <col min="7175" max="7175" width="16.85546875" style="59" customWidth="1"/>
    <col min="7176" max="7176" width="19.5703125" style="59" customWidth="1"/>
    <col min="7177" max="7177" width="9.85546875" style="59" customWidth="1"/>
    <col min="7178" max="7178" width="13.140625" style="59" customWidth="1"/>
    <col min="7179" max="7179" width="11.140625" style="59" customWidth="1"/>
    <col min="7180" max="7180" width="13" style="59" customWidth="1"/>
    <col min="7181" max="7181" width="16.5703125" style="59" customWidth="1"/>
    <col min="7182" max="7424" width="25.7109375" style="59"/>
    <col min="7425" max="7425" width="60.42578125" style="59" customWidth="1"/>
    <col min="7426" max="7426" width="20.42578125" style="59" customWidth="1"/>
    <col min="7427" max="7427" width="10.42578125" style="59" customWidth="1"/>
    <col min="7428" max="7428" width="11.85546875" style="59" customWidth="1"/>
    <col min="7429" max="7429" width="9.5703125" style="59" customWidth="1"/>
    <col min="7430" max="7430" width="12.5703125" style="59" customWidth="1"/>
    <col min="7431" max="7431" width="16.85546875" style="59" customWidth="1"/>
    <col min="7432" max="7432" width="19.5703125" style="59" customWidth="1"/>
    <col min="7433" max="7433" width="9.85546875" style="59" customWidth="1"/>
    <col min="7434" max="7434" width="13.140625" style="59" customWidth="1"/>
    <col min="7435" max="7435" width="11.140625" style="59" customWidth="1"/>
    <col min="7436" max="7436" width="13" style="59" customWidth="1"/>
    <col min="7437" max="7437" width="16.5703125" style="59" customWidth="1"/>
    <col min="7438" max="7680" width="25.7109375" style="59"/>
    <col min="7681" max="7681" width="60.42578125" style="59" customWidth="1"/>
    <col min="7682" max="7682" width="20.42578125" style="59" customWidth="1"/>
    <col min="7683" max="7683" width="10.42578125" style="59" customWidth="1"/>
    <col min="7684" max="7684" width="11.85546875" style="59" customWidth="1"/>
    <col min="7685" max="7685" width="9.5703125" style="59" customWidth="1"/>
    <col min="7686" max="7686" width="12.5703125" style="59" customWidth="1"/>
    <col min="7687" max="7687" width="16.85546875" style="59" customWidth="1"/>
    <col min="7688" max="7688" width="19.5703125" style="59" customWidth="1"/>
    <col min="7689" max="7689" width="9.85546875" style="59" customWidth="1"/>
    <col min="7690" max="7690" width="13.140625" style="59" customWidth="1"/>
    <col min="7691" max="7691" width="11.140625" style="59" customWidth="1"/>
    <col min="7692" max="7692" width="13" style="59" customWidth="1"/>
    <col min="7693" max="7693" width="16.5703125" style="59" customWidth="1"/>
    <col min="7694" max="7936" width="25.7109375" style="59"/>
    <col min="7937" max="7937" width="60.42578125" style="59" customWidth="1"/>
    <col min="7938" max="7938" width="20.42578125" style="59" customWidth="1"/>
    <col min="7939" max="7939" width="10.42578125" style="59" customWidth="1"/>
    <col min="7940" max="7940" width="11.85546875" style="59" customWidth="1"/>
    <col min="7941" max="7941" width="9.5703125" style="59" customWidth="1"/>
    <col min="7942" max="7942" width="12.5703125" style="59" customWidth="1"/>
    <col min="7943" max="7943" width="16.85546875" style="59" customWidth="1"/>
    <col min="7944" max="7944" width="19.5703125" style="59" customWidth="1"/>
    <col min="7945" max="7945" width="9.85546875" style="59" customWidth="1"/>
    <col min="7946" max="7946" width="13.140625" style="59" customWidth="1"/>
    <col min="7947" max="7947" width="11.140625" style="59" customWidth="1"/>
    <col min="7948" max="7948" width="13" style="59" customWidth="1"/>
    <col min="7949" max="7949" width="16.5703125" style="59" customWidth="1"/>
    <col min="7950" max="8192" width="25.7109375" style="59"/>
    <col min="8193" max="8193" width="60.42578125" style="59" customWidth="1"/>
    <col min="8194" max="8194" width="20.42578125" style="59" customWidth="1"/>
    <col min="8195" max="8195" width="10.42578125" style="59" customWidth="1"/>
    <col min="8196" max="8196" width="11.85546875" style="59" customWidth="1"/>
    <col min="8197" max="8197" width="9.5703125" style="59" customWidth="1"/>
    <col min="8198" max="8198" width="12.5703125" style="59" customWidth="1"/>
    <col min="8199" max="8199" width="16.85546875" style="59" customWidth="1"/>
    <col min="8200" max="8200" width="19.5703125" style="59" customWidth="1"/>
    <col min="8201" max="8201" width="9.85546875" style="59" customWidth="1"/>
    <col min="8202" max="8202" width="13.140625" style="59" customWidth="1"/>
    <col min="8203" max="8203" width="11.140625" style="59" customWidth="1"/>
    <col min="8204" max="8204" width="13" style="59" customWidth="1"/>
    <col min="8205" max="8205" width="16.5703125" style="59" customWidth="1"/>
    <col min="8206" max="8448" width="25.7109375" style="59"/>
    <col min="8449" max="8449" width="60.42578125" style="59" customWidth="1"/>
    <col min="8450" max="8450" width="20.42578125" style="59" customWidth="1"/>
    <col min="8451" max="8451" width="10.42578125" style="59" customWidth="1"/>
    <col min="8452" max="8452" width="11.85546875" style="59" customWidth="1"/>
    <col min="8453" max="8453" width="9.5703125" style="59" customWidth="1"/>
    <col min="8454" max="8454" width="12.5703125" style="59" customWidth="1"/>
    <col min="8455" max="8455" width="16.85546875" style="59" customWidth="1"/>
    <col min="8456" max="8456" width="19.5703125" style="59" customWidth="1"/>
    <col min="8457" max="8457" width="9.85546875" style="59" customWidth="1"/>
    <col min="8458" max="8458" width="13.140625" style="59" customWidth="1"/>
    <col min="8459" max="8459" width="11.140625" style="59" customWidth="1"/>
    <col min="8460" max="8460" width="13" style="59" customWidth="1"/>
    <col min="8461" max="8461" width="16.5703125" style="59" customWidth="1"/>
    <col min="8462" max="8704" width="25.7109375" style="59"/>
    <col min="8705" max="8705" width="60.42578125" style="59" customWidth="1"/>
    <col min="8706" max="8706" width="20.42578125" style="59" customWidth="1"/>
    <col min="8707" max="8707" width="10.42578125" style="59" customWidth="1"/>
    <col min="8708" max="8708" width="11.85546875" style="59" customWidth="1"/>
    <col min="8709" max="8709" width="9.5703125" style="59" customWidth="1"/>
    <col min="8710" max="8710" width="12.5703125" style="59" customWidth="1"/>
    <col min="8711" max="8711" width="16.85546875" style="59" customWidth="1"/>
    <col min="8712" max="8712" width="19.5703125" style="59" customWidth="1"/>
    <col min="8713" max="8713" width="9.85546875" style="59" customWidth="1"/>
    <col min="8714" max="8714" width="13.140625" style="59" customWidth="1"/>
    <col min="8715" max="8715" width="11.140625" style="59" customWidth="1"/>
    <col min="8716" max="8716" width="13" style="59" customWidth="1"/>
    <col min="8717" max="8717" width="16.5703125" style="59" customWidth="1"/>
    <col min="8718" max="8960" width="25.7109375" style="59"/>
    <col min="8961" max="8961" width="60.42578125" style="59" customWidth="1"/>
    <col min="8962" max="8962" width="20.42578125" style="59" customWidth="1"/>
    <col min="8963" max="8963" width="10.42578125" style="59" customWidth="1"/>
    <col min="8964" max="8964" width="11.85546875" style="59" customWidth="1"/>
    <col min="8965" max="8965" width="9.5703125" style="59" customWidth="1"/>
    <col min="8966" max="8966" width="12.5703125" style="59" customWidth="1"/>
    <col min="8967" max="8967" width="16.85546875" style="59" customWidth="1"/>
    <col min="8968" max="8968" width="19.5703125" style="59" customWidth="1"/>
    <col min="8969" max="8969" width="9.85546875" style="59" customWidth="1"/>
    <col min="8970" max="8970" width="13.140625" style="59" customWidth="1"/>
    <col min="8971" max="8971" width="11.140625" style="59" customWidth="1"/>
    <col min="8972" max="8972" width="13" style="59" customWidth="1"/>
    <col min="8973" max="8973" width="16.5703125" style="59" customWidth="1"/>
    <col min="8974" max="9216" width="25.7109375" style="59"/>
    <col min="9217" max="9217" width="60.42578125" style="59" customWidth="1"/>
    <col min="9218" max="9218" width="20.42578125" style="59" customWidth="1"/>
    <col min="9219" max="9219" width="10.42578125" style="59" customWidth="1"/>
    <col min="9220" max="9220" width="11.85546875" style="59" customWidth="1"/>
    <col min="9221" max="9221" width="9.5703125" style="59" customWidth="1"/>
    <col min="9222" max="9222" width="12.5703125" style="59" customWidth="1"/>
    <col min="9223" max="9223" width="16.85546875" style="59" customWidth="1"/>
    <col min="9224" max="9224" width="19.5703125" style="59" customWidth="1"/>
    <col min="9225" max="9225" width="9.85546875" style="59" customWidth="1"/>
    <col min="9226" max="9226" width="13.140625" style="59" customWidth="1"/>
    <col min="9227" max="9227" width="11.140625" style="59" customWidth="1"/>
    <col min="9228" max="9228" width="13" style="59" customWidth="1"/>
    <col min="9229" max="9229" width="16.5703125" style="59" customWidth="1"/>
    <col min="9230" max="9472" width="25.7109375" style="59"/>
    <col min="9473" max="9473" width="60.42578125" style="59" customWidth="1"/>
    <col min="9474" max="9474" width="20.42578125" style="59" customWidth="1"/>
    <col min="9475" max="9475" width="10.42578125" style="59" customWidth="1"/>
    <col min="9476" max="9476" width="11.85546875" style="59" customWidth="1"/>
    <col min="9477" max="9477" width="9.5703125" style="59" customWidth="1"/>
    <col min="9478" max="9478" width="12.5703125" style="59" customWidth="1"/>
    <col min="9479" max="9479" width="16.85546875" style="59" customWidth="1"/>
    <col min="9480" max="9480" width="19.5703125" style="59" customWidth="1"/>
    <col min="9481" max="9481" width="9.85546875" style="59" customWidth="1"/>
    <col min="9482" max="9482" width="13.140625" style="59" customWidth="1"/>
    <col min="9483" max="9483" width="11.140625" style="59" customWidth="1"/>
    <col min="9484" max="9484" width="13" style="59" customWidth="1"/>
    <col min="9485" max="9485" width="16.5703125" style="59" customWidth="1"/>
    <col min="9486" max="9728" width="25.7109375" style="59"/>
    <col min="9729" max="9729" width="60.42578125" style="59" customWidth="1"/>
    <col min="9730" max="9730" width="20.42578125" style="59" customWidth="1"/>
    <col min="9731" max="9731" width="10.42578125" style="59" customWidth="1"/>
    <col min="9732" max="9732" width="11.85546875" style="59" customWidth="1"/>
    <col min="9733" max="9733" width="9.5703125" style="59" customWidth="1"/>
    <col min="9734" max="9734" width="12.5703125" style="59" customWidth="1"/>
    <col min="9735" max="9735" width="16.85546875" style="59" customWidth="1"/>
    <col min="9736" max="9736" width="19.5703125" style="59" customWidth="1"/>
    <col min="9737" max="9737" width="9.85546875" style="59" customWidth="1"/>
    <col min="9738" max="9738" width="13.140625" style="59" customWidth="1"/>
    <col min="9739" max="9739" width="11.140625" style="59" customWidth="1"/>
    <col min="9740" max="9740" width="13" style="59" customWidth="1"/>
    <col min="9741" max="9741" width="16.5703125" style="59" customWidth="1"/>
    <col min="9742" max="9984" width="25.7109375" style="59"/>
    <col min="9985" max="9985" width="60.42578125" style="59" customWidth="1"/>
    <col min="9986" max="9986" width="20.42578125" style="59" customWidth="1"/>
    <col min="9987" max="9987" width="10.42578125" style="59" customWidth="1"/>
    <col min="9988" max="9988" width="11.85546875" style="59" customWidth="1"/>
    <col min="9989" max="9989" width="9.5703125" style="59" customWidth="1"/>
    <col min="9990" max="9990" width="12.5703125" style="59" customWidth="1"/>
    <col min="9991" max="9991" width="16.85546875" style="59" customWidth="1"/>
    <col min="9992" max="9992" width="19.5703125" style="59" customWidth="1"/>
    <col min="9993" max="9993" width="9.85546875" style="59" customWidth="1"/>
    <col min="9994" max="9994" width="13.140625" style="59" customWidth="1"/>
    <col min="9995" max="9995" width="11.140625" style="59" customWidth="1"/>
    <col min="9996" max="9996" width="13" style="59" customWidth="1"/>
    <col min="9997" max="9997" width="16.5703125" style="59" customWidth="1"/>
    <col min="9998" max="10240" width="25.7109375" style="59"/>
    <col min="10241" max="10241" width="60.42578125" style="59" customWidth="1"/>
    <col min="10242" max="10242" width="20.42578125" style="59" customWidth="1"/>
    <col min="10243" max="10243" width="10.42578125" style="59" customWidth="1"/>
    <col min="10244" max="10244" width="11.85546875" style="59" customWidth="1"/>
    <col min="10245" max="10245" width="9.5703125" style="59" customWidth="1"/>
    <col min="10246" max="10246" width="12.5703125" style="59" customWidth="1"/>
    <col min="10247" max="10247" width="16.85546875" style="59" customWidth="1"/>
    <col min="10248" max="10248" width="19.5703125" style="59" customWidth="1"/>
    <col min="10249" max="10249" width="9.85546875" style="59" customWidth="1"/>
    <col min="10250" max="10250" width="13.140625" style="59" customWidth="1"/>
    <col min="10251" max="10251" width="11.140625" style="59" customWidth="1"/>
    <col min="10252" max="10252" width="13" style="59" customWidth="1"/>
    <col min="10253" max="10253" width="16.5703125" style="59" customWidth="1"/>
    <col min="10254" max="10496" width="25.7109375" style="59"/>
    <col min="10497" max="10497" width="60.42578125" style="59" customWidth="1"/>
    <col min="10498" max="10498" width="20.42578125" style="59" customWidth="1"/>
    <col min="10499" max="10499" width="10.42578125" style="59" customWidth="1"/>
    <col min="10500" max="10500" width="11.85546875" style="59" customWidth="1"/>
    <col min="10501" max="10501" width="9.5703125" style="59" customWidth="1"/>
    <col min="10502" max="10502" width="12.5703125" style="59" customWidth="1"/>
    <col min="10503" max="10503" width="16.85546875" style="59" customWidth="1"/>
    <col min="10504" max="10504" width="19.5703125" style="59" customWidth="1"/>
    <col min="10505" max="10505" width="9.85546875" style="59" customWidth="1"/>
    <col min="10506" max="10506" width="13.140625" style="59" customWidth="1"/>
    <col min="10507" max="10507" width="11.140625" style="59" customWidth="1"/>
    <col min="10508" max="10508" width="13" style="59" customWidth="1"/>
    <col min="10509" max="10509" width="16.5703125" style="59" customWidth="1"/>
    <col min="10510" max="10752" width="25.7109375" style="59"/>
    <col min="10753" max="10753" width="60.42578125" style="59" customWidth="1"/>
    <col min="10754" max="10754" width="20.42578125" style="59" customWidth="1"/>
    <col min="10755" max="10755" width="10.42578125" style="59" customWidth="1"/>
    <col min="10756" max="10756" width="11.85546875" style="59" customWidth="1"/>
    <col min="10757" max="10757" width="9.5703125" style="59" customWidth="1"/>
    <col min="10758" max="10758" width="12.5703125" style="59" customWidth="1"/>
    <col min="10759" max="10759" width="16.85546875" style="59" customWidth="1"/>
    <col min="10760" max="10760" width="19.5703125" style="59" customWidth="1"/>
    <col min="10761" max="10761" width="9.85546875" style="59" customWidth="1"/>
    <col min="10762" max="10762" width="13.140625" style="59" customWidth="1"/>
    <col min="10763" max="10763" width="11.140625" style="59" customWidth="1"/>
    <col min="10764" max="10764" width="13" style="59" customWidth="1"/>
    <col min="10765" max="10765" width="16.5703125" style="59" customWidth="1"/>
    <col min="10766" max="11008" width="25.7109375" style="59"/>
    <col min="11009" max="11009" width="60.42578125" style="59" customWidth="1"/>
    <col min="11010" max="11010" width="20.42578125" style="59" customWidth="1"/>
    <col min="11011" max="11011" width="10.42578125" style="59" customWidth="1"/>
    <col min="11012" max="11012" width="11.85546875" style="59" customWidth="1"/>
    <col min="11013" max="11013" width="9.5703125" style="59" customWidth="1"/>
    <col min="11014" max="11014" width="12.5703125" style="59" customWidth="1"/>
    <col min="11015" max="11015" width="16.85546875" style="59" customWidth="1"/>
    <col min="11016" max="11016" width="19.5703125" style="59" customWidth="1"/>
    <col min="11017" max="11017" width="9.85546875" style="59" customWidth="1"/>
    <col min="11018" max="11018" width="13.140625" style="59" customWidth="1"/>
    <col min="11019" max="11019" width="11.140625" style="59" customWidth="1"/>
    <col min="11020" max="11020" width="13" style="59" customWidth="1"/>
    <col min="11021" max="11021" width="16.5703125" style="59" customWidth="1"/>
    <col min="11022" max="11264" width="25.7109375" style="59"/>
    <col min="11265" max="11265" width="60.42578125" style="59" customWidth="1"/>
    <col min="11266" max="11266" width="20.42578125" style="59" customWidth="1"/>
    <col min="11267" max="11267" width="10.42578125" style="59" customWidth="1"/>
    <col min="11268" max="11268" width="11.85546875" style="59" customWidth="1"/>
    <col min="11269" max="11269" width="9.5703125" style="59" customWidth="1"/>
    <col min="11270" max="11270" width="12.5703125" style="59" customWidth="1"/>
    <col min="11271" max="11271" width="16.85546875" style="59" customWidth="1"/>
    <col min="11272" max="11272" width="19.5703125" style="59" customWidth="1"/>
    <col min="11273" max="11273" width="9.85546875" style="59" customWidth="1"/>
    <col min="11274" max="11274" width="13.140625" style="59" customWidth="1"/>
    <col min="11275" max="11275" width="11.140625" style="59" customWidth="1"/>
    <col min="11276" max="11276" width="13" style="59" customWidth="1"/>
    <col min="11277" max="11277" width="16.5703125" style="59" customWidth="1"/>
    <col min="11278" max="11520" width="25.7109375" style="59"/>
    <col min="11521" max="11521" width="60.42578125" style="59" customWidth="1"/>
    <col min="11522" max="11522" width="20.42578125" style="59" customWidth="1"/>
    <col min="11523" max="11523" width="10.42578125" style="59" customWidth="1"/>
    <col min="11524" max="11524" width="11.85546875" style="59" customWidth="1"/>
    <col min="11525" max="11525" width="9.5703125" style="59" customWidth="1"/>
    <col min="11526" max="11526" width="12.5703125" style="59" customWidth="1"/>
    <col min="11527" max="11527" width="16.85546875" style="59" customWidth="1"/>
    <col min="11528" max="11528" width="19.5703125" style="59" customWidth="1"/>
    <col min="11529" max="11529" width="9.85546875" style="59" customWidth="1"/>
    <col min="11530" max="11530" width="13.140625" style="59" customWidth="1"/>
    <col min="11531" max="11531" width="11.140625" style="59" customWidth="1"/>
    <col min="11532" max="11532" width="13" style="59" customWidth="1"/>
    <col min="11533" max="11533" width="16.5703125" style="59" customWidth="1"/>
    <col min="11534" max="11776" width="25.7109375" style="59"/>
    <col min="11777" max="11777" width="60.42578125" style="59" customWidth="1"/>
    <col min="11778" max="11778" width="20.42578125" style="59" customWidth="1"/>
    <col min="11779" max="11779" width="10.42578125" style="59" customWidth="1"/>
    <col min="11780" max="11780" width="11.85546875" style="59" customWidth="1"/>
    <col min="11781" max="11781" width="9.5703125" style="59" customWidth="1"/>
    <col min="11782" max="11782" width="12.5703125" style="59" customWidth="1"/>
    <col min="11783" max="11783" width="16.85546875" style="59" customWidth="1"/>
    <col min="11784" max="11784" width="19.5703125" style="59" customWidth="1"/>
    <col min="11785" max="11785" width="9.85546875" style="59" customWidth="1"/>
    <col min="11786" max="11786" width="13.140625" style="59" customWidth="1"/>
    <col min="11787" max="11787" width="11.140625" style="59" customWidth="1"/>
    <col min="11788" max="11788" width="13" style="59" customWidth="1"/>
    <col min="11789" max="11789" width="16.5703125" style="59" customWidth="1"/>
    <col min="11790" max="12032" width="25.7109375" style="59"/>
    <col min="12033" max="12033" width="60.42578125" style="59" customWidth="1"/>
    <col min="12034" max="12034" width="20.42578125" style="59" customWidth="1"/>
    <col min="12035" max="12035" width="10.42578125" style="59" customWidth="1"/>
    <col min="12036" max="12036" width="11.85546875" style="59" customWidth="1"/>
    <col min="12037" max="12037" width="9.5703125" style="59" customWidth="1"/>
    <col min="12038" max="12038" width="12.5703125" style="59" customWidth="1"/>
    <col min="12039" max="12039" width="16.85546875" style="59" customWidth="1"/>
    <col min="12040" max="12040" width="19.5703125" style="59" customWidth="1"/>
    <col min="12041" max="12041" width="9.85546875" style="59" customWidth="1"/>
    <col min="12042" max="12042" width="13.140625" style="59" customWidth="1"/>
    <col min="12043" max="12043" width="11.140625" style="59" customWidth="1"/>
    <col min="12044" max="12044" width="13" style="59" customWidth="1"/>
    <col min="12045" max="12045" width="16.5703125" style="59" customWidth="1"/>
    <col min="12046" max="12288" width="25.7109375" style="59"/>
    <col min="12289" max="12289" width="60.42578125" style="59" customWidth="1"/>
    <col min="12290" max="12290" width="20.42578125" style="59" customWidth="1"/>
    <col min="12291" max="12291" width="10.42578125" style="59" customWidth="1"/>
    <col min="12292" max="12292" width="11.85546875" style="59" customWidth="1"/>
    <col min="12293" max="12293" width="9.5703125" style="59" customWidth="1"/>
    <col min="12294" max="12294" width="12.5703125" style="59" customWidth="1"/>
    <col min="12295" max="12295" width="16.85546875" style="59" customWidth="1"/>
    <col min="12296" max="12296" width="19.5703125" style="59" customWidth="1"/>
    <col min="12297" max="12297" width="9.85546875" style="59" customWidth="1"/>
    <col min="12298" max="12298" width="13.140625" style="59" customWidth="1"/>
    <col min="12299" max="12299" width="11.140625" style="59" customWidth="1"/>
    <col min="12300" max="12300" width="13" style="59" customWidth="1"/>
    <col min="12301" max="12301" width="16.5703125" style="59" customWidth="1"/>
    <col min="12302" max="12544" width="25.7109375" style="59"/>
    <col min="12545" max="12545" width="60.42578125" style="59" customWidth="1"/>
    <col min="12546" max="12546" width="20.42578125" style="59" customWidth="1"/>
    <col min="12547" max="12547" width="10.42578125" style="59" customWidth="1"/>
    <col min="12548" max="12548" width="11.85546875" style="59" customWidth="1"/>
    <col min="12549" max="12549" width="9.5703125" style="59" customWidth="1"/>
    <col min="12550" max="12550" width="12.5703125" style="59" customWidth="1"/>
    <col min="12551" max="12551" width="16.85546875" style="59" customWidth="1"/>
    <col min="12552" max="12552" width="19.5703125" style="59" customWidth="1"/>
    <col min="12553" max="12553" width="9.85546875" style="59" customWidth="1"/>
    <col min="12554" max="12554" width="13.140625" style="59" customWidth="1"/>
    <col min="12555" max="12555" width="11.140625" style="59" customWidth="1"/>
    <col min="12556" max="12556" width="13" style="59" customWidth="1"/>
    <col min="12557" max="12557" width="16.5703125" style="59" customWidth="1"/>
    <col min="12558" max="12800" width="25.7109375" style="59"/>
    <col min="12801" max="12801" width="60.42578125" style="59" customWidth="1"/>
    <col min="12802" max="12802" width="20.42578125" style="59" customWidth="1"/>
    <col min="12803" max="12803" width="10.42578125" style="59" customWidth="1"/>
    <col min="12804" max="12804" width="11.85546875" style="59" customWidth="1"/>
    <col min="12805" max="12805" width="9.5703125" style="59" customWidth="1"/>
    <col min="12806" max="12806" width="12.5703125" style="59" customWidth="1"/>
    <col min="12807" max="12807" width="16.85546875" style="59" customWidth="1"/>
    <col min="12808" max="12808" width="19.5703125" style="59" customWidth="1"/>
    <col min="12809" max="12809" width="9.85546875" style="59" customWidth="1"/>
    <col min="12810" max="12810" width="13.140625" style="59" customWidth="1"/>
    <col min="12811" max="12811" width="11.140625" style="59" customWidth="1"/>
    <col min="12812" max="12812" width="13" style="59" customWidth="1"/>
    <col min="12813" max="12813" width="16.5703125" style="59" customWidth="1"/>
    <col min="12814" max="13056" width="25.7109375" style="59"/>
    <col min="13057" max="13057" width="60.42578125" style="59" customWidth="1"/>
    <col min="13058" max="13058" width="20.42578125" style="59" customWidth="1"/>
    <col min="13059" max="13059" width="10.42578125" style="59" customWidth="1"/>
    <col min="13060" max="13060" width="11.85546875" style="59" customWidth="1"/>
    <col min="13061" max="13061" width="9.5703125" style="59" customWidth="1"/>
    <col min="13062" max="13062" width="12.5703125" style="59" customWidth="1"/>
    <col min="13063" max="13063" width="16.85546875" style="59" customWidth="1"/>
    <col min="13064" max="13064" width="19.5703125" style="59" customWidth="1"/>
    <col min="13065" max="13065" width="9.85546875" style="59" customWidth="1"/>
    <col min="13066" max="13066" width="13.140625" style="59" customWidth="1"/>
    <col min="13067" max="13067" width="11.140625" style="59" customWidth="1"/>
    <col min="13068" max="13068" width="13" style="59" customWidth="1"/>
    <col min="13069" max="13069" width="16.5703125" style="59" customWidth="1"/>
    <col min="13070" max="13312" width="25.7109375" style="59"/>
    <col min="13313" max="13313" width="60.42578125" style="59" customWidth="1"/>
    <col min="13314" max="13314" width="20.42578125" style="59" customWidth="1"/>
    <col min="13315" max="13315" width="10.42578125" style="59" customWidth="1"/>
    <col min="13316" max="13316" width="11.85546875" style="59" customWidth="1"/>
    <col min="13317" max="13317" width="9.5703125" style="59" customWidth="1"/>
    <col min="13318" max="13318" width="12.5703125" style="59" customWidth="1"/>
    <col min="13319" max="13319" width="16.85546875" style="59" customWidth="1"/>
    <col min="13320" max="13320" width="19.5703125" style="59" customWidth="1"/>
    <col min="13321" max="13321" width="9.85546875" style="59" customWidth="1"/>
    <col min="13322" max="13322" width="13.140625" style="59" customWidth="1"/>
    <col min="13323" max="13323" width="11.140625" style="59" customWidth="1"/>
    <col min="13324" max="13324" width="13" style="59" customWidth="1"/>
    <col min="13325" max="13325" width="16.5703125" style="59" customWidth="1"/>
    <col min="13326" max="13568" width="25.7109375" style="59"/>
    <col min="13569" max="13569" width="60.42578125" style="59" customWidth="1"/>
    <col min="13570" max="13570" width="20.42578125" style="59" customWidth="1"/>
    <col min="13571" max="13571" width="10.42578125" style="59" customWidth="1"/>
    <col min="13572" max="13572" width="11.85546875" style="59" customWidth="1"/>
    <col min="13573" max="13573" width="9.5703125" style="59" customWidth="1"/>
    <col min="13574" max="13574" width="12.5703125" style="59" customWidth="1"/>
    <col min="13575" max="13575" width="16.85546875" style="59" customWidth="1"/>
    <col min="13576" max="13576" width="19.5703125" style="59" customWidth="1"/>
    <col min="13577" max="13577" width="9.85546875" style="59" customWidth="1"/>
    <col min="13578" max="13578" width="13.140625" style="59" customWidth="1"/>
    <col min="13579" max="13579" width="11.140625" style="59" customWidth="1"/>
    <col min="13580" max="13580" width="13" style="59" customWidth="1"/>
    <col min="13581" max="13581" width="16.5703125" style="59" customWidth="1"/>
    <col min="13582" max="13824" width="25.7109375" style="59"/>
    <col min="13825" max="13825" width="60.42578125" style="59" customWidth="1"/>
    <col min="13826" max="13826" width="20.42578125" style="59" customWidth="1"/>
    <col min="13827" max="13827" width="10.42578125" style="59" customWidth="1"/>
    <col min="13828" max="13828" width="11.85546875" style="59" customWidth="1"/>
    <col min="13829" max="13829" width="9.5703125" style="59" customWidth="1"/>
    <col min="13830" max="13830" width="12.5703125" style="59" customWidth="1"/>
    <col min="13831" max="13831" width="16.85546875" style="59" customWidth="1"/>
    <col min="13832" max="13832" width="19.5703125" style="59" customWidth="1"/>
    <col min="13833" max="13833" width="9.85546875" style="59" customWidth="1"/>
    <col min="13834" max="13834" width="13.140625" style="59" customWidth="1"/>
    <col min="13835" max="13835" width="11.140625" style="59" customWidth="1"/>
    <col min="13836" max="13836" width="13" style="59" customWidth="1"/>
    <col min="13837" max="13837" width="16.5703125" style="59" customWidth="1"/>
    <col min="13838" max="14080" width="25.7109375" style="59"/>
    <col min="14081" max="14081" width="60.42578125" style="59" customWidth="1"/>
    <col min="14082" max="14082" width="20.42578125" style="59" customWidth="1"/>
    <col min="14083" max="14083" width="10.42578125" style="59" customWidth="1"/>
    <col min="14084" max="14084" width="11.85546875" style="59" customWidth="1"/>
    <col min="14085" max="14085" width="9.5703125" style="59" customWidth="1"/>
    <col min="14086" max="14086" width="12.5703125" style="59" customWidth="1"/>
    <col min="14087" max="14087" width="16.85546875" style="59" customWidth="1"/>
    <col min="14088" max="14088" width="19.5703125" style="59" customWidth="1"/>
    <col min="14089" max="14089" width="9.85546875" style="59" customWidth="1"/>
    <col min="14090" max="14090" width="13.140625" style="59" customWidth="1"/>
    <col min="14091" max="14091" width="11.140625" style="59" customWidth="1"/>
    <col min="14092" max="14092" width="13" style="59" customWidth="1"/>
    <col min="14093" max="14093" width="16.5703125" style="59" customWidth="1"/>
    <col min="14094" max="14336" width="25.7109375" style="59"/>
    <col min="14337" max="14337" width="60.42578125" style="59" customWidth="1"/>
    <col min="14338" max="14338" width="20.42578125" style="59" customWidth="1"/>
    <col min="14339" max="14339" width="10.42578125" style="59" customWidth="1"/>
    <col min="14340" max="14340" width="11.85546875" style="59" customWidth="1"/>
    <col min="14341" max="14341" width="9.5703125" style="59" customWidth="1"/>
    <col min="14342" max="14342" width="12.5703125" style="59" customWidth="1"/>
    <col min="14343" max="14343" width="16.85546875" style="59" customWidth="1"/>
    <col min="14344" max="14344" width="19.5703125" style="59" customWidth="1"/>
    <col min="14345" max="14345" width="9.85546875" style="59" customWidth="1"/>
    <col min="14346" max="14346" width="13.140625" style="59" customWidth="1"/>
    <col min="14347" max="14347" width="11.140625" style="59" customWidth="1"/>
    <col min="14348" max="14348" width="13" style="59" customWidth="1"/>
    <col min="14349" max="14349" width="16.5703125" style="59" customWidth="1"/>
    <col min="14350" max="14592" width="25.7109375" style="59"/>
    <col min="14593" max="14593" width="60.42578125" style="59" customWidth="1"/>
    <col min="14594" max="14594" width="20.42578125" style="59" customWidth="1"/>
    <col min="14595" max="14595" width="10.42578125" style="59" customWidth="1"/>
    <col min="14596" max="14596" width="11.85546875" style="59" customWidth="1"/>
    <col min="14597" max="14597" width="9.5703125" style="59" customWidth="1"/>
    <col min="14598" max="14598" width="12.5703125" style="59" customWidth="1"/>
    <col min="14599" max="14599" width="16.85546875" style="59" customWidth="1"/>
    <col min="14600" max="14600" width="19.5703125" style="59" customWidth="1"/>
    <col min="14601" max="14601" width="9.85546875" style="59" customWidth="1"/>
    <col min="14602" max="14602" width="13.140625" style="59" customWidth="1"/>
    <col min="14603" max="14603" width="11.140625" style="59" customWidth="1"/>
    <col min="14604" max="14604" width="13" style="59" customWidth="1"/>
    <col min="14605" max="14605" width="16.5703125" style="59" customWidth="1"/>
    <col min="14606" max="14848" width="25.7109375" style="59"/>
    <col min="14849" max="14849" width="60.42578125" style="59" customWidth="1"/>
    <col min="14850" max="14850" width="20.42578125" style="59" customWidth="1"/>
    <col min="14851" max="14851" width="10.42578125" style="59" customWidth="1"/>
    <col min="14852" max="14852" width="11.85546875" style="59" customWidth="1"/>
    <col min="14853" max="14853" width="9.5703125" style="59" customWidth="1"/>
    <col min="14854" max="14854" width="12.5703125" style="59" customWidth="1"/>
    <col min="14855" max="14855" width="16.85546875" style="59" customWidth="1"/>
    <col min="14856" max="14856" width="19.5703125" style="59" customWidth="1"/>
    <col min="14857" max="14857" width="9.85546875" style="59" customWidth="1"/>
    <col min="14858" max="14858" width="13.140625" style="59" customWidth="1"/>
    <col min="14859" max="14859" width="11.140625" style="59" customWidth="1"/>
    <col min="14860" max="14860" width="13" style="59" customWidth="1"/>
    <col min="14861" max="14861" width="16.5703125" style="59" customWidth="1"/>
    <col min="14862" max="15104" width="25.7109375" style="59"/>
    <col min="15105" max="15105" width="60.42578125" style="59" customWidth="1"/>
    <col min="15106" max="15106" width="20.42578125" style="59" customWidth="1"/>
    <col min="15107" max="15107" width="10.42578125" style="59" customWidth="1"/>
    <col min="15108" max="15108" width="11.85546875" style="59" customWidth="1"/>
    <col min="15109" max="15109" width="9.5703125" style="59" customWidth="1"/>
    <col min="15110" max="15110" width="12.5703125" style="59" customWidth="1"/>
    <col min="15111" max="15111" width="16.85546875" style="59" customWidth="1"/>
    <col min="15112" max="15112" width="19.5703125" style="59" customWidth="1"/>
    <col min="15113" max="15113" width="9.85546875" style="59" customWidth="1"/>
    <col min="15114" max="15114" width="13.140625" style="59" customWidth="1"/>
    <col min="15115" max="15115" width="11.140625" style="59" customWidth="1"/>
    <col min="15116" max="15116" width="13" style="59" customWidth="1"/>
    <col min="15117" max="15117" width="16.5703125" style="59" customWidth="1"/>
    <col min="15118" max="15360" width="25.7109375" style="59"/>
    <col min="15361" max="15361" width="60.42578125" style="59" customWidth="1"/>
    <col min="15362" max="15362" width="20.42578125" style="59" customWidth="1"/>
    <col min="15363" max="15363" width="10.42578125" style="59" customWidth="1"/>
    <col min="15364" max="15364" width="11.85546875" style="59" customWidth="1"/>
    <col min="15365" max="15365" width="9.5703125" style="59" customWidth="1"/>
    <col min="15366" max="15366" width="12.5703125" style="59" customWidth="1"/>
    <col min="15367" max="15367" width="16.85546875" style="59" customWidth="1"/>
    <col min="15368" max="15368" width="19.5703125" style="59" customWidth="1"/>
    <col min="15369" max="15369" width="9.85546875" style="59" customWidth="1"/>
    <col min="15370" max="15370" width="13.140625" style="59" customWidth="1"/>
    <col min="15371" max="15371" width="11.140625" style="59" customWidth="1"/>
    <col min="15372" max="15372" width="13" style="59" customWidth="1"/>
    <col min="15373" max="15373" width="16.5703125" style="59" customWidth="1"/>
    <col min="15374" max="15616" width="25.7109375" style="59"/>
    <col min="15617" max="15617" width="60.42578125" style="59" customWidth="1"/>
    <col min="15618" max="15618" width="20.42578125" style="59" customWidth="1"/>
    <col min="15619" max="15619" width="10.42578125" style="59" customWidth="1"/>
    <col min="15620" max="15620" width="11.85546875" style="59" customWidth="1"/>
    <col min="15621" max="15621" width="9.5703125" style="59" customWidth="1"/>
    <col min="15622" max="15622" width="12.5703125" style="59" customWidth="1"/>
    <col min="15623" max="15623" width="16.85546875" style="59" customWidth="1"/>
    <col min="15624" max="15624" width="19.5703125" style="59" customWidth="1"/>
    <col min="15625" max="15625" width="9.85546875" style="59" customWidth="1"/>
    <col min="15626" max="15626" width="13.140625" style="59" customWidth="1"/>
    <col min="15627" max="15627" width="11.140625" style="59" customWidth="1"/>
    <col min="15628" max="15628" width="13" style="59" customWidth="1"/>
    <col min="15629" max="15629" width="16.5703125" style="59" customWidth="1"/>
    <col min="15630" max="15872" width="25.7109375" style="59"/>
    <col min="15873" max="15873" width="60.42578125" style="59" customWidth="1"/>
    <col min="15874" max="15874" width="20.42578125" style="59" customWidth="1"/>
    <col min="15875" max="15875" width="10.42578125" style="59" customWidth="1"/>
    <col min="15876" max="15876" width="11.85546875" style="59" customWidth="1"/>
    <col min="15877" max="15877" width="9.5703125" style="59" customWidth="1"/>
    <col min="15878" max="15878" width="12.5703125" style="59" customWidth="1"/>
    <col min="15879" max="15879" width="16.85546875" style="59" customWidth="1"/>
    <col min="15880" max="15880" width="19.5703125" style="59" customWidth="1"/>
    <col min="15881" max="15881" width="9.85546875" style="59" customWidth="1"/>
    <col min="15882" max="15882" width="13.140625" style="59" customWidth="1"/>
    <col min="15883" max="15883" width="11.140625" style="59" customWidth="1"/>
    <col min="15884" max="15884" width="13" style="59" customWidth="1"/>
    <col min="15885" max="15885" width="16.5703125" style="59" customWidth="1"/>
    <col min="15886" max="16128" width="25.7109375" style="59"/>
    <col min="16129" max="16129" width="60.42578125" style="59" customWidth="1"/>
    <col min="16130" max="16130" width="20.42578125" style="59" customWidth="1"/>
    <col min="16131" max="16131" width="10.42578125" style="59" customWidth="1"/>
    <col min="16132" max="16132" width="11.85546875" style="59" customWidth="1"/>
    <col min="16133" max="16133" width="9.5703125" style="59" customWidth="1"/>
    <col min="16134" max="16134" width="12.5703125" style="59" customWidth="1"/>
    <col min="16135" max="16135" width="16.85546875" style="59" customWidth="1"/>
    <col min="16136" max="16136" width="19.5703125" style="59" customWidth="1"/>
    <col min="16137" max="16137" width="9.85546875" style="59" customWidth="1"/>
    <col min="16138" max="16138" width="13.140625" style="59" customWidth="1"/>
    <col min="16139" max="16139" width="11.140625" style="59" customWidth="1"/>
    <col min="16140" max="16140" width="13" style="59" customWidth="1"/>
    <col min="16141" max="16141" width="16.5703125" style="59" customWidth="1"/>
    <col min="16142" max="16384" width="25.7109375" style="59"/>
  </cols>
  <sheetData>
    <row r="1" spans="1:13" s="51" customFormat="1" ht="18" customHeight="1">
      <c r="A1" s="50" t="s">
        <v>200</v>
      </c>
      <c r="B1" s="50"/>
      <c r="C1" s="50"/>
      <c r="D1" s="50"/>
    </row>
    <row r="2" spans="1:13" s="53" customFormat="1" ht="18" customHeight="1">
      <c r="A2" s="52" t="s">
        <v>201</v>
      </c>
      <c r="B2" s="52"/>
      <c r="C2" s="52"/>
      <c r="D2" s="52"/>
    </row>
    <row r="3" spans="1:13" s="56" customFormat="1" ht="18" customHeight="1">
      <c r="A3" s="54" t="s">
        <v>202</v>
      </c>
      <c r="B3" s="55" t="s">
        <v>36</v>
      </c>
      <c r="C3" s="55"/>
      <c r="D3" s="55"/>
    </row>
    <row r="4" spans="1:13" s="56" customFormat="1" ht="18" customHeight="1">
      <c r="A4" s="51" t="s">
        <v>203</v>
      </c>
      <c r="B4" s="57" t="s">
        <v>38</v>
      </c>
      <c r="C4" s="57"/>
      <c r="D4" s="58" t="s">
        <v>39</v>
      </c>
    </row>
    <row r="5" spans="1:13" ht="18" customHeight="1">
      <c r="A5" s="59" t="s">
        <v>204</v>
      </c>
      <c r="B5" s="59" t="s">
        <v>205</v>
      </c>
      <c r="C5" s="59" t="s">
        <v>206</v>
      </c>
      <c r="D5" s="59" t="s">
        <v>207</v>
      </c>
      <c r="E5" s="59" t="s">
        <v>208</v>
      </c>
      <c r="F5" s="59" t="s">
        <v>209</v>
      </c>
      <c r="G5" s="59" t="s">
        <v>210</v>
      </c>
      <c r="H5" s="59" t="s">
        <v>205</v>
      </c>
      <c r="I5" s="59" t="s">
        <v>206</v>
      </c>
      <c r="J5" s="59" t="s">
        <v>207</v>
      </c>
      <c r="K5" s="59" t="s">
        <v>208</v>
      </c>
      <c r="L5" s="59" t="s">
        <v>209</v>
      </c>
      <c r="M5" s="59" t="s">
        <v>210</v>
      </c>
    </row>
    <row r="6" spans="1:13" ht="18" customHeight="1">
      <c r="A6" s="59" t="s">
        <v>211</v>
      </c>
      <c r="G6" s="59" t="s">
        <v>212</v>
      </c>
      <c r="M6" s="59" t="s">
        <v>212</v>
      </c>
    </row>
    <row r="7" spans="1:13" ht="18" customHeight="1">
      <c r="A7" s="59" t="s">
        <v>213</v>
      </c>
      <c r="G7" s="59" t="s">
        <v>212</v>
      </c>
      <c r="M7" s="59" t="s">
        <v>212</v>
      </c>
    </row>
    <row r="8" spans="1:13" ht="18" customHeight="1">
      <c r="A8" s="59" t="s">
        <v>214</v>
      </c>
      <c r="G8" s="59" t="s">
        <v>212</v>
      </c>
      <c r="M8" s="59" t="s">
        <v>212</v>
      </c>
    </row>
    <row r="9" spans="1:13" ht="18" customHeight="1">
      <c r="A9" s="59" t="s">
        <v>215</v>
      </c>
      <c r="B9" s="59" t="s">
        <v>212</v>
      </c>
      <c r="C9" s="59" t="s">
        <v>212</v>
      </c>
      <c r="D9" s="59" t="s">
        <v>212</v>
      </c>
      <c r="E9" s="59" t="s">
        <v>212</v>
      </c>
      <c r="F9" s="59" t="s">
        <v>212</v>
      </c>
      <c r="G9" s="59" t="s">
        <v>212</v>
      </c>
      <c r="H9" s="59" t="s">
        <v>212</v>
      </c>
      <c r="I9" s="59" t="s">
        <v>212</v>
      </c>
      <c r="J9" s="59" t="s">
        <v>212</v>
      </c>
      <c r="K9" s="59" t="s">
        <v>212</v>
      </c>
      <c r="L9" s="59" t="s">
        <v>212</v>
      </c>
      <c r="M9" s="59" t="s">
        <v>212</v>
      </c>
    </row>
    <row r="10" spans="1:13" ht="18" customHeight="1">
      <c r="A10" s="59" t="s">
        <v>216</v>
      </c>
      <c r="B10" s="59" t="s">
        <v>212</v>
      </c>
      <c r="C10" s="59" t="s">
        <v>212</v>
      </c>
      <c r="D10" s="59" t="s">
        <v>212</v>
      </c>
      <c r="E10" s="59" t="s">
        <v>212</v>
      </c>
      <c r="F10" s="59" t="s">
        <v>212</v>
      </c>
      <c r="G10" s="59" t="s">
        <v>212</v>
      </c>
      <c r="H10" s="59" t="s">
        <v>212</v>
      </c>
      <c r="I10" s="59" t="s">
        <v>212</v>
      </c>
      <c r="J10" s="59" t="s">
        <v>212</v>
      </c>
      <c r="K10" s="59" t="s">
        <v>212</v>
      </c>
      <c r="L10" s="59" t="s">
        <v>212</v>
      </c>
      <c r="M10" s="59" t="s">
        <v>212</v>
      </c>
    </row>
    <row r="11" spans="1:13" ht="18" customHeight="1">
      <c r="A11" s="59" t="s">
        <v>217</v>
      </c>
      <c r="G11" s="59" t="s">
        <v>212</v>
      </c>
      <c r="M11" s="59" t="s">
        <v>212</v>
      </c>
    </row>
    <row r="12" spans="1:13" ht="18" customHeight="1">
      <c r="A12" s="59" t="s">
        <v>218</v>
      </c>
      <c r="B12" s="59" t="s">
        <v>212</v>
      </c>
      <c r="C12" s="59" t="s">
        <v>212</v>
      </c>
      <c r="D12" s="59" t="s">
        <v>212</v>
      </c>
      <c r="E12" s="59" t="s">
        <v>212</v>
      </c>
      <c r="F12" s="59" t="s">
        <v>212</v>
      </c>
      <c r="G12" s="59" t="s">
        <v>212</v>
      </c>
      <c r="H12" s="59" t="s">
        <v>212</v>
      </c>
      <c r="I12" s="59" t="s">
        <v>212</v>
      </c>
      <c r="J12" s="59" t="s">
        <v>212</v>
      </c>
      <c r="K12" s="59" t="s">
        <v>212</v>
      </c>
      <c r="L12" s="59" t="s">
        <v>212</v>
      </c>
      <c r="M12" s="59" t="s">
        <v>212</v>
      </c>
    </row>
    <row r="13" spans="1:13" ht="18" customHeight="1">
      <c r="A13" s="59" t="s">
        <v>219</v>
      </c>
      <c r="G13" s="59" t="s">
        <v>212</v>
      </c>
      <c r="M13" s="59" t="s">
        <v>212</v>
      </c>
    </row>
    <row r="14" spans="1:13" ht="18" customHeight="1">
      <c r="A14" s="59" t="s">
        <v>220</v>
      </c>
      <c r="G14" s="59" t="s">
        <v>212</v>
      </c>
      <c r="M14" s="59" t="s">
        <v>212</v>
      </c>
    </row>
    <row r="15" spans="1:13" ht="18" customHeight="1">
      <c r="A15" s="59" t="s">
        <v>221</v>
      </c>
      <c r="G15" s="59" t="s">
        <v>212</v>
      </c>
      <c r="M15" s="59" t="s">
        <v>212</v>
      </c>
    </row>
    <row r="16" spans="1:13" ht="18" customHeight="1">
      <c r="A16" s="59" t="s">
        <v>222</v>
      </c>
      <c r="G16" s="59" t="s">
        <v>212</v>
      </c>
      <c r="M16" s="59" t="s">
        <v>212</v>
      </c>
    </row>
    <row r="17" spans="1:13" ht="18" customHeight="1">
      <c r="A17" s="59" t="s">
        <v>223</v>
      </c>
      <c r="B17" s="59" t="s">
        <v>212</v>
      </c>
      <c r="C17" s="59" t="s">
        <v>212</v>
      </c>
      <c r="D17" s="59" t="s">
        <v>212</v>
      </c>
      <c r="E17" s="59" t="s">
        <v>212</v>
      </c>
      <c r="F17" s="59" t="s">
        <v>212</v>
      </c>
      <c r="G17" s="59" t="s">
        <v>212</v>
      </c>
      <c r="H17" s="59" t="s">
        <v>212</v>
      </c>
      <c r="I17" s="59" t="s">
        <v>212</v>
      </c>
      <c r="J17" s="59" t="s">
        <v>212</v>
      </c>
      <c r="K17" s="59" t="s">
        <v>212</v>
      </c>
      <c r="L17" s="59" t="s">
        <v>212</v>
      </c>
      <c r="M17" s="59" t="s">
        <v>212</v>
      </c>
    </row>
    <row r="18" spans="1:13" ht="18" customHeight="1">
      <c r="A18" s="59" t="s">
        <v>224</v>
      </c>
      <c r="G18" s="59" t="s">
        <v>212</v>
      </c>
      <c r="M18" s="59" t="s">
        <v>212</v>
      </c>
    </row>
    <row r="19" spans="1:13" ht="18" customHeight="1">
      <c r="A19" s="59" t="s">
        <v>225</v>
      </c>
      <c r="G19" s="59" t="s">
        <v>212</v>
      </c>
      <c r="M19" s="59" t="s">
        <v>212</v>
      </c>
    </row>
    <row r="20" spans="1:13" ht="18" customHeight="1">
      <c r="A20" s="59" t="s">
        <v>226</v>
      </c>
      <c r="G20" s="59" t="s">
        <v>212</v>
      </c>
      <c r="M20" s="59" t="s">
        <v>212</v>
      </c>
    </row>
    <row r="21" spans="1:13" ht="18" customHeight="1">
      <c r="A21" s="59" t="s">
        <v>227</v>
      </c>
      <c r="G21" s="59" t="s">
        <v>212</v>
      </c>
      <c r="M21" s="59" t="s">
        <v>212</v>
      </c>
    </row>
    <row r="22" spans="1:13" ht="18" customHeight="1">
      <c r="A22" s="59" t="s">
        <v>228</v>
      </c>
      <c r="G22" s="59" t="s">
        <v>212</v>
      </c>
      <c r="M22" s="59" t="s">
        <v>212</v>
      </c>
    </row>
    <row r="23" spans="1:13" ht="18" customHeight="1">
      <c r="A23" s="59" t="s">
        <v>229</v>
      </c>
      <c r="G23" s="59" t="s">
        <v>212</v>
      </c>
      <c r="M23" s="59" t="s">
        <v>212</v>
      </c>
    </row>
    <row r="24" spans="1:13" ht="18" customHeight="1">
      <c r="A24" s="59" t="s">
        <v>230</v>
      </c>
      <c r="G24" s="59" t="s">
        <v>212</v>
      </c>
      <c r="M24" s="59" t="s">
        <v>212</v>
      </c>
    </row>
    <row r="25" spans="1:13" ht="18" customHeight="1">
      <c r="A25" s="59" t="s">
        <v>227</v>
      </c>
      <c r="G25" s="59" t="s">
        <v>212</v>
      </c>
      <c r="M25" s="59" t="s">
        <v>212</v>
      </c>
    </row>
    <row r="26" spans="1:13" ht="18" customHeight="1">
      <c r="A26" s="59" t="s">
        <v>231</v>
      </c>
      <c r="G26" s="59" t="s">
        <v>212</v>
      </c>
      <c r="M26" s="59" t="s">
        <v>212</v>
      </c>
    </row>
    <row r="27" spans="1:13" ht="18" customHeight="1">
      <c r="A27" s="59" t="s">
        <v>232</v>
      </c>
      <c r="G27" s="59" t="s">
        <v>212</v>
      </c>
      <c r="M27" s="59" t="s">
        <v>212</v>
      </c>
    </row>
    <row r="28" spans="1:13" ht="18" customHeight="1">
      <c r="A28" s="59" t="s">
        <v>233</v>
      </c>
      <c r="G28" s="59" t="s">
        <v>212</v>
      </c>
      <c r="M28" s="59" t="s">
        <v>212</v>
      </c>
    </row>
    <row r="29" spans="1:13" ht="18" customHeight="1">
      <c r="A29" s="59" t="s">
        <v>234</v>
      </c>
      <c r="G29" s="59" t="s">
        <v>212</v>
      </c>
      <c r="M29" s="59" t="s">
        <v>212</v>
      </c>
    </row>
    <row r="30" spans="1:13" ht="18" customHeight="1">
      <c r="A30" s="59" t="s">
        <v>222</v>
      </c>
      <c r="G30" s="59" t="s">
        <v>212</v>
      </c>
      <c r="M30" s="59" t="s">
        <v>212</v>
      </c>
    </row>
    <row r="31" spans="1:13" ht="18" customHeight="1">
      <c r="A31" s="59" t="s">
        <v>235</v>
      </c>
      <c r="B31" s="59" t="s">
        <v>212</v>
      </c>
      <c r="C31" s="59" t="s">
        <v>212</v>
      </c>
      <c r="D31" s="59" t="s">
        <v>212</v>
      </c>
      <c r="E31" s="59" t="s">
        <v>212</v>
      </c>
      <c r="F31" s="59" t="s">
        <v>212</v>
      </c>
      <c r="G31" s="59" t="s">
        <v>212</v>
      </c>
      <c r="H31" s="59" t="s">
        <v>212</v>
      </c>
      <c r="I31" s="59" t="s">
        <v>212</v>
      </c>
      <c r="J31" s="59" t="s">
        <v>212</v>
      </c>
      <c r="K31" s="59" t="s">
        <v>212</v>
      </c>
      <c r="L31" s="59" t="s">
        <v>212</v>
      </c>
      <c r="M31" s="59" t="s">
        <v>212</v>
      </c>
    </row>
  </sheetData>
  <mergeCells count="4">
    <mergeCell ref="A1:D1"/>
    <mergeCell ref="A2:D2"/>
    <mergeCell ref="B3:D3"/>
    <mergeCell ref="B4:C4"/>
  </mergeCells>
  <printOptions gridLines="1" gridLinesSet="0"/>
  <pageMargins left="0.78740157499999996" right="0.78740157499999996" top="0.984251969" bottom="0.984251969" header="0.5" footer="0.5"/>
  <pageSetup paperSize="9" orientation="portrait" r:id="rId1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179</vt:i4>
      </vt:variant>
    </vt:vector>
  </HeadingPairs>
  <TitlesOfParts>
    <vt:vector size="183" baseType="lpstr">
      <vt:lpstr>Start</vt:lpstr>
      <vt:lpstr>资产负债表(适用执行小企业会计准则的企业)</vt:lpstr>
      <vt:lpstr>利润表月报(适用执行小企业会计准则的企业)</vt:lpstr>
      <vt:lpstr>报表</vt:lpstr>
      <vt:lpstr>DisableConnection</vt:lpstr>
      <vt:lpstr>'利润表月报(适用执行小企业会计准则的企业)'!Druckbereich</vt:lpstr>
      <vt:lpstr>'资产负债表(适用执行小企业会计准则的企业)'!Druckbereich</vt:lpstr>
      <vt:lpstr>File0</vt:lpstr>
      <vt:lpstr>File1</vt:lpstr>
      <vt:lpstr>File2</vt:lpstr>
      <vt:lpstr>'资产负债表(适用执行小企业会计准则的企业)'!sheet0_f_h10l2</vt:lpstr>
      <vt:lpstr>sheet0_f_h10l2</vt:lpstr>
      <vt:lpstr>'资产负债表(适用执行小企业会计准则的企业)'!sheet0_f_h10l3</vt:lpstr>
      <vt:lpstr>sheet0_f_h10l3</vt:lpstr>
      <vt:lpstr>sheet0_f_h10l5</vt:lpstr>
      <vt:lpstr>sheet0_f_h10l6</vt:lpstr>
      <vt:lpstr>'资产负债表(适用执行小企业会计准则的企业)'!sheet0_f_h11l2</vt:lpstr>
      <vt:lpstr>sheet0_f_h11l2</vt:lpstr>
      <vt:lpstr>'资产负债表(适用执行小企业会计准则的企业)'!sheet0_f_h11l3</vt:lpstr>
      <vt:lpstr>sheet0_f_h11l3</vt:lpstr>
      <vt:lpstr>sheet0_f_h11l5</vt:lpstr>
      <vt:lpstr>sheet0_f_h11l6</vt:lpstr>
      <vt:lpstr>'资产负债表(适用执行小企业会计准则的企业)'!sheet0_f_h12l2</vt:lpstr>
      <vt:lpstr>sheet0_f_h12l2</vt:lpstr>
      <vt:lpstr>'资产负债表(适用执行小企业会计准则的企业)'!sheet0_f_h12l3</vt:lpstr>
      <vt:lpstr>sheet0_f_h12l3</vt:lpstr>
      <vt:lpstr>'资产负债表(适用执行小企业会计准则的企业)'!sheet0_f_h13l2</vt:lpstr>
      <vt:lpstr>sheet0_f_h13l2</vt:lpstr>
      <vt:lpstr>'资产负债表(适用执行小企业会计准则的企业)'!sheet0_f_h13l3</vt:lpstr>
      <vt:lpstr>sheet0_f_h13l3</vt:lpstr>
      <vt:lpstr>sheet0_f_h13l5</vt:lpstr>
      <vt:lpstr>sheet0_f_h13l6</vt:lpstr>
      <vt:lpstr>'资产负债表(适用执行小企业会计准则的企业)'!sheet0_f_h14l2</vt:lpstr>
      <vt:lpstr>sheet0_f_h14l2</vt:lpstr>
      <vt:lpstr>'资产负债表(适用执行小企业会计准则的企业)'!sheet0_f_h14l3</vt:lpstr>
      <vt:lpstr>sheet0_f_h14l3</vt:lpstr>
      <vt:lpstr>sheet0_f_h14l5</vt:lpstr>
      <vt:lpstr>sheet0_f_h14l6</vt:lpstr>
      <vt:lpstr>'资产负债表(适用执行小企业会计准则的企业)'!sheet0_f_h15l2</vt:lpstr>
      <vt:lpstr>sheet0_f_h15l2</vt:lpstr>
      <vt:lpstr>'资产负债表(适用执行小企业会计准则的企业)'!sheet0_f_h15l3</vt:lpstr>
      <vt:lpstr>sheet0_f_h15l3</vt:lpstr>
      <vt:lpstr>sheet0_f_h15l5</vt:lpstr>
      <vt:lpstr>sheet0_f_h15l6</vt:lpstr>
      <vt:lpstr>sheet0_f_h16l2</vt:lpstr>
      <vt:lpstr>sheet0_f_h16l3</vt:lpstr>
      <vt:lpstr>sheet0_f_h16l5</vt:lpstr>
      <vt:lpstr>sheet0_f_h16l6</vt:lpstr>
      <vt:lpstr>'资产负债表(适用执行小企业会计准则的企业)'!sheet0_f_h17l2</vt:lpstr>
      <vt:lpstr>sheet0_f_h17l2</vt:lpstr>
      <vt:lpstr>'资产负债表(适用执行小企业会计准则的企业)'!sheet0_f_h17l3</vt:lpstr>
      <vt:lpstr>sheet0_f_h17l3</vt:lpstr>
      <vt:lpstr>sheet0_f_h17l5</vt:lpstr>
      <vt:lpstr>sheet0_f_h17l6</vt:lpstr>
      <vt:lpstr>'资产负债表(适用执行小企业会计准则的企业)'!sheet0_f_h18l2</vt:lpstr>
      <vt:lpstr>sheet0_f_h18l2</vt:lpstr>
      <vt:lpstr>'资产负债表(适用执行小企业会计准则的企业)'!sheet0_f_h18l3</vt:lpstr>
      <vt:lpstr>sheet0_f_h18l3</vt:lpstr>
      <vt:lpstr>sheet0_f_h18l5</vt:lpstr>
      <vt:lpstr>sheet0_f_h18l6</vt:lpstr>
      <vt:lpstr>'资产负债表(适用执行小企业会计准则的企业)'!sheet0_f_h19l2</vt:lpstr>
      <vt:lpstr>sheet0_f_h19l2</vt:lpstr>
      <vt:lpstr>'资产负债表(适用执行小企业会计准则的企业)'!sheet0_f_h19l3</vt:lpstr>
      <vt:lpstr>sheet0_f_h19l3</vt:lpstr>
      <vt:lpstr>'资产负债表(适用执行小企业会计准则的企业)'!sheet0_f_h1l2</vt:lpstr>
      <vt:lpstr>sheet0_f_h1l2</vt:lpstr>
      <vt:lpstr>'资产负债表(适用执行小企业会计准则的企业)'!sheet0_f_h1l3</vt:lpstr>
      <vt:lpstr>sheet0_f_h1l3</vt:lpstr>
      <vt:lpstr>sheet0_f_h1l5</vt:lpstr>
      <vt:lpstr>sheet0_f_h1l6</vt:lpstr>
      <vt:lpstr>'资产负债表(适用执行小企业会计准则的企业)'!sheet0_f_h20l2</vt:lpstr>
      <vt:lpstr>sheet0_f_h20l2</vt:lpstr>
      <vt:lpstr>'资产负债表(适用执行小企业会计准则的企业)'!sheet0_f_h20l3</vt:lpstr>
      <vt:lpstr>sheet0_f_h20l3</vt:lpstr>
      <vt:lpstr>'资产负债表(适用执行小企业会计准则的企业)'!sheet0_f_h21l2</vt:lpstr>
      <vt:lpstr>sheet0_f_h21l2</vt:lpstr>
      <vt:lpstr>'资产负债表(适用执行小企业会计准则的企业)'!sheet0_f_h21l3</vt:lpstr>
      <vt:lpstr>sheet0_f_h21l3</vt:lpstr>
      <vt:lpstr>'资产负债表(适用执行小企业会计准则的企业)'!sheet0_f_h22l2</vt:lpstr>
      <vt:lpstr>sheet0_f_h22l2</vt:lpstr>
      <vt:lpstr>'资产负债表(适用执行小企业会计准则的企业)'!sheet0_f_h22l3</vt:lpstr>
      <vt:lpstr>sheet0_f_h22l3</vt:lpstr>
      <vt:lpstr>'资产负债表(适用执行小企业会计准则的企业)'!sheet0_f_h23l2</vt:lpstr>
      <vt:lpstr>sheet0_f_h23l2</vt:lpstr>
      <vt:lpstr>'资产负债表(适用执行小企业会计准则的企业)'!sheet0_f_h23l3</vt:lpstr>
      <vt:lpstr>sheet0_f_h23l3</vt:lpstr>
      <vt:lpstr>'资产负债表(适用执行小企业会计准则的企业)'!sheet0_f_h24l2</vt:lpstr>
      <vt:lpstr>sheet0_f_h24l2</vt:lpstr>
      <vt:lpstr>'资产负债表(适用执行小企业会计准则的企业)'!sheet0_f_h24l3</vt:lpstr>
      <vt:lpstr>sheet0_f_h24l3</vt:lpstr>
      <vt:lpstr>'资产负债表(适用执行小企业会计准则的企业)'!sheet0_f_h25l2</vt:lpstr>
      <vt:lpstr>sheet0_f_h25l2</vt:lpstr>
      <vt:lpstr>'资产负债表(适用执行小企业会计准则的企业)'!sheet0_f_h25l3</vt:lpstr>
      <vt:lpstr>sheet0_f_h25l3</vt:lpstr>
      <vt:lpstr>'资产负债表(适用执行小企业会计准则的企业)'!sheet0_f_h26l2</vt:lpstr>
      <vt:lpstr>sheet0_f_h26l2</vt:lpstr>
      <vt:lpstr>'资产负债表(适用执行小企业会计准则的企业)'!sheet0_f_h26l3</vt:lpstr>
      <vt:lpstr>sheet0_f_h26l3</vt:lpstr>
      <vt:lpstr>sheet0_f_h26l5</vt:lpstr>
      <vt:lpstr>sheet0_f_h26l6</vt:lpstr>
      <vt:lpstr>'资产负债表(适用执行小企业会计准则的企业)'!sheet0_f_h27l2</vt:lpstr>
      <vt:lpstr>sheet0_f_h27l2</vt:lpstr>
      <vt:lpstr>'资产负债表(适用执行小企业会计准则的企业)'!sheet0_f_h27l3</vt:lpstr>
      <vt:lpstr>sheet0_f_h27l3</vt:lpstr>
      <vt:lpstr>sheet0_f_h27l5</vt:lpstr>
      <vt:lpstr>sheet0_f_h27l6</vt:lpstr>
      <vt:lpstr>'资产负债表(适用执行小企业会计准则的企业)'!sheet0_f_h28l2</vt:lpstr>
      <vt:lpstr>sheet0_f_h28l2</vt:lpstr>
      <vt:lpstr>'资产负债表(适用执行小企业会计准则的企业)'!sheet0_f_h28l3</vt:lpstr>
      <vt:lpstr>sheet0_f_h28l3</vt:lpstr>
      <vt:lpstr>sheet0_f_h28l5</vt:lpstr>
      <vt:lpstr>sheet0_f_h28l6</vt:lpstr>
      <vt:lpstr>'资产负债表(适用执行小企业会计准则的企业)'!sheet0_f_h29l2</vt:lpstr>
      <vt:lpstr>sheet0_f_h29l2</vt:lpstr>
      <vt:lpstr>'资产负债表(适用执行小企业会计准则的企业)'!sheet0_f_h29l3</vt:lpstr>
      <vt:lpstr>sheet0_f_h29l3</vt:lpstr>
      <vt:lpstr>sheet0_f_h29l5</vt:lpstr>
      <vt:lpstr>sheet0_f_h29l6</vt:lpstr>
      <vt:lpstr>'资产负债表(适用执行小企业会计准则的企业)'!sheet0_f_h2l2</vt:lpstr>
      <vt:lpstr>sheet0_f_h2l2</vt:lpstr>
      <vt:lpstr>'资产负债表(适用执行小企业会计准则的企业)'!sheet0_f_h2l3</vt:lpstr>
      <vt:lpstr>sheet0_f_h2l3</vt:lpstr>
      <vt:lpstr>sheet0_f_h2l5</vt:lpstr>
      <vt:lpstr>sheet0_f_h2l6</vt:lpstr>
      <vt:lpstr>'资产负债表(适用执行小企业会计准则的企业)'!sheet0_f_h30l2</vt:lpstr>
      <vt:lpstr>sheet0_f_h30l2</vt:lpstr>
      <vt:lpstr>'资产负债表(适用执行小企业会计准则的企业)'!sheet0_f_h30l3</vt:lpstr>
      <vt:lpstr>sheet0_f_h30l3</vt:lpstr>
      <vt:lpstr>sheet0_f_h30l5</vt:lpstr>
      <vt:lpstr>sheet0_f_h30l6</vt:lpstr>
      <vt:lpstr>'资产负债表(适用执行小企业会计准则的企业)'!sheet0_f_h31l2</vt:lpstr>
      <vt:lpstr>sheet0_f_h31l2</vt:lpstr>
      <vt:lpstr>'资产负债表(适用执行小企业会计准则的企业)'!sheet0_f_h31l3</vt:lpstr>
      <vt:lpstr>sheet0_f_h31l3</vt:lpstr>
      <vt:lpstr>sheet0_f_h31l5</vt:lpstr>
      <vt:lpstr>sheet0_f_h31l6</vt:lpstr>
      <vt:lpstr>sheet0_f_h32l2</vt:lpstr>
      <vt:lpstr>sheet0_f_h32l3</vt:lpstr>
      <vt:lpstr>'资产负债表(适用执行小企业会计准则的企业)'!sheet0_f_h3l2</vt:lpstr>
      <vt:lpstr>sheet0_f_h3l2</vt:lpstr>
      <vt:lpstr>'资产负债表(适用执行小企业会计准则的企业)'!sheet0_f_h3l3</vt:lpstr>
      <vt:lpstr>sheet0_f_h3l3</vt:lpstr>
      <vt:lpstr>sheet0_f_h3l5</vt:lpstr>
      <vt:lpstr>sheet0_f_h3l6</vt:lpstr>
      <vt:lpstr>'资产负债表(适用执行小企业会计准则的企业)'!sheet0_f_h4l2</vt:lpstr>
      <vt:lpstr>sheet0_f_h4l2</vt:lpstr>
      <vt:lpstr>'资产负债表(适用执行小企业会计准则的企业)'!sheet0_f_h4l3</vt:lpstr>
      <vt:lpstr>sheet0_f_h4l3</vt:lpstr>
      <vt:lpstr>sheet0_f_h4l5</vt:lpstr>
      <vt:lpstr>sheet0_f_h4l6</vt:lpstr>
      <vt:lpstr>'资产负债表(适用执行小企业会计准则的企业)'!sheet0_f_h5l2</vt:lpstr>
      <vt:lpstr>sheet0_f_h5l2</vt:lpstr>
      <vt:lpstr>'资产负债表(适用执行小企业会计准则的企业)'!sheet0_f_h5l3</vt:lpstr>
      <vt:lpstr>sheet0_f_h5l3</vt:lpstr>
      <vt:lpstr>sheet0_f_h5l5</vt:lpstr>
      <vt:lpstr>sheet0_f_h5l6</vt:lpstr>
      <vt:lpstr>'资产负债表(适用执行小企业会计准则的企业)'!sheet0_f_h6l2</vt:lpstr>
      <vt:lpstr>sheet0_f_h6l2</vt:lpstr>
      <vt:lpstr>'资产负债表(适用执行小企业会计准则的企业)'!sheet0_f_h6l3</vt:lpstr>
      <vt:lpstr>sheet0_f_h6l3</vt:lpstr>
      <vt:lpstr>sheet0_f_h6l5</vt:lpstr>
      <vt:lpstr>sheet0_f_h6l6</vt:lpstr>
      <vt:lpstr>'资产负债表(适用执行小企业会计准则的企业)'!sheet0_f_h7l2</vt:lpstr>
      <vt:lpstr>sheet0_f_h7l2</vt:lpstr>
      <vt:lpstr>'资产负债表(适用执行小企业会计准则的企业)'!sheet0_f_h7l3</vt:lpstr>
      <vt:lpstr>sheet0_f_h7l3</vt:lpstr>
      <vt:lpstr>sheet0_f_h7l5</vt:lpstr>
      <vt:lpstr>sheet0_f_h7l6</vt:lpstr>
      <vt:lpstr>'资产负债表(适用执行小企业会计准则的企业)'!sheet0_f_h8l2</vt:lpstr>
      <vt:lpstr>sheet0_f_h8l2</vt:lpstr>
      <vt:lpstr>'资产负债表(适用执行小企业会计准则的企业)'!sheet0_f_h8l3</vt:lpstr>
      <vt:lpstr>sheet0_f_h8l3</vt:lpstr>
      <vt:lpstr>sheet0_f_h8l5</vt:lpstr>
      <vt:lpstr>sheet0_f_h8l6</vt:lpstr>
      <vt:lpstr>'资产负债表(适用执行小企业会计准则的企业)'!sheet0_f_h9l2</vt:lpstr>
      <vt:lpstr>sheet0_f_h9l2</vt:lpstr>
      <vt:lpstr>'资产负债表(适用执行小企业会计准则的企业)'!sheet0_f_h9l3</vt:lpstr>
      <vt:lpstr>sheet0_f_h9l3</vt:lpstr>
      <vt:lpstr>sheet0_f_h9l5</vt:lpstr>
      <vt:lpstr>sheet0_f_h9l6</vt:lpstr>
      <vt:lpstr>'资产负债表(适用执行小企业会计准则的企业)'!sheet0_fvo_classname</vt:lpstr>
      <vt:lpstr>sheet0_fvo_classname</vt:lpstr>
      <vt:lpstr>报表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Domenico Zucchetti</dc:creator>
  <cp:lastModifiedBy>Domenico Zucchetti</cp:lastModifiedBy>
  <cp:lastPrinted>2016-04-01T12:44:53Z</cp:lastPrinted>
  <dcterms:created xsi:type="dcterms:W3CDTF">2014-07-24T08:59:22Z</dcterms:created>
  <dcterms:modified xsi:type="dcterms:W3CDTF">2016-04-01T12:45:33Z</dcterms:modified>
</cp:coreProperties>
</file>